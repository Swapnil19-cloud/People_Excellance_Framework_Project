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vita\Desktop\CCH folder\Projects\People_Excellance_Framework_Project\02_HR_Dashboard\"/>
    </mc:Choice>
  </mc:AlternateContent>
  <bookViews>
    <workbookView xWindow="0" yWindow="0" windowWidth="15345" windowHeight="4170" firstSheet="3" activeTab="6"/>
  </bookViews>
  <sheets>
    <sheet name="Pivot_Tables" sheetId="4" r:id="rId1"/>
    <sheet name="Dept_Attrition" sheetId="5" r:id="rId2"/>
    <sheet name="Gender_Distribution" sheetId="6" r:id="rId3"/>
    <sheet name="Training_Analysis" sheetId="7" r:id="rId4"/>
    <sheet name="Performance_Analysis" sheetId="8" r:id="rId5"/>
    <sheet name="Employee_Master" sheetId="1" r:id="rId6"/>
    <sheet name="Dashboard" sheetId="3" r:id="rId7"/>
  </sheets>
  <calcPr calcId="152511"/>
  <pivotCaches>
    <pivotCache cacheId="0" r:id="rId8"/>
  </pivotCaches>
</workbook>
</file>

<file path=xl/calcChain.xml><?xml version="1.0" encoding="utf-8"?>
<calcChain xmlns="http://schemas.openxmlformats.org/spreadsheetml/2006/main">
  <c r="J8" i="3" l="1"/>
  <c r="G8" i="3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</calcChain>
</file>

<file path=xl/sharedStrings.xml><?xml version="1.0" encoding="utf-8"?>
<sst xmlns="http://schemas.openxmlformats.org/spreadsheetml/2006/main" count="1929" uniqueCount="897">
  <si>
    <t>Employee ID</t>
  </si>
  <si>
    <t>Department</t>
  </si>
  <si>
    <t>Joining Date</t>
  </si>
  <si>
    <t>Salary</t>
  </si>
  <si>
    <t>Age</t>
  </si>
  <si>
    <t>Gender</t>
  </si>
  <si>
    <t>Last Promotion Date</t>
  </si>
  <si>
    <t>Exit Date</t>
  </si>
  <si>
    <t>Performance Rating</t>
  </si>
  <si>
    <t>Training Hours Completed</t>
  </si>
  <si>
    <t>EMP001</t>
  </si>
  <si>
    <t>Operations</t>
  </si>
  <si>
    <t>2021-12-09</t>
  </si>
  <si>
    <t>Male</t>
  </si>
  <si>
    <t>2023-11-01</t>
  </si>
  <si>
    <t>EMP002</t>
  </si>
  <si>
    <t>Sales</t>
  </si>
  <si>
    <t>2022-04-23</t>
  </si>
  <si>
    <t>Female</t>
  </si>
  <si>
    <t>2023-07-19</t>
  </si>
  <si>
    <t>EMP003</t>
  </si>
  <si>
    <t>2024-09-08</t>
  </si>
  <si>
    <t>2025-03-30</t>
  </si>
  <si>
    <t>EMP004</t>
  </si>
  <si>
    <t>HR</t>
  </si>
  <si>
    <t>2025-06-29</t>
  </si>
  <si>
    <t>2025-12-26</t>
  </si>
  <si>
    <t>EMP005</t>
  </si>
  <si>
    <t>IT</t>
  </si>
  <si>
    <t>2024-02-08</t>
  </si>
  <si>
    <t>2024-08-06</t>
  </si>
  <si>
    <t>EMP006</t>
  </si>
  <si>
    <t>Customer Support</t>
  </si>
  <si>
    <t>2023-12-23</t>
  </si>
  <si>
    <t>2024-10-08</t>
  </si>
  <si>
    <t>EMP007</t>
  </si>
  <si>
    <t>2022-12-16</t>
  </si>
  <si>
    <t>2023-12-14</t>
  </si>
  <si>
    <t>EMP008</t>
  </si>
  <si>
    <t>Finance</t>
  </si>
  <si>
    <t>2025-07-27</t>
  </si>
  <si>
    <t>2026-01-23</t>
  </si>
  <si>
    <t>EMP009</t>
  </si>
  <si>
    <t>2024-07-06</t>
  </si>
  <si>
    <t>2025-01-02</t>
  </si>
  <si>
    <t>EMP010</t>
  </si>
  <si>
    <t>2022-12-15</t>
  </si>
  <si>
    <t>2024-03-03</t>
  </si>
  <si>
    <t>2026-04-15</t>
  </si>
  <si>
    <t>EMP011</t>
  </si>
  <si>
    <t>2026-01-08</t>
  </si>
  <si>
    <t>2026-07-07</t>
  </si>
  <si>
    <t>EMP012</t>
  </si>
  <si>
    <t>2024-12-04</t>
  </si>
  <si>
    <t>2025-06-02</t>
  </si>
  <si>
    <t>EMP013</t>
  </si>
  <si>
    <t>2020-10-31</t>
  </si>
  <si>
    <t>2023-05-01</t>
  </si>
  <si>
    <t>EMP014</t>
  </si>
  <si>
    <t>Marketing</t>
  </si>
  <si>
    <t>2021-10-26</t>
  </si>
  <si>
    <t>2024-09-05</t>
  </si>
  <si>
    <t>EMP015</t>
  </si>
  <si>
    <t>2020-01-19</t>
  </si>
  <si>
    <t>2021-04-30</t>
  </si>
  <si>
    <t>2022-10-02</t>
  </si>
  <si>
    <t>EMP016</t>
  </si>
  <si>
    <t>2020-11-25</t>
  </si>
  <si>
    <t>2022-07-18</t>
  </si>
  <si>
    <t>EMP017</t>
  </si>
  <si>
    <t>2025-05-17</t>
  </si>
  <si>
    <t>2025-11-13</t>
  </si>
  <si>
    <t>EMP018</t>
  </si>
  <si>
    <t>2021-06-16</t>
  </si>
  <si>
    <t>2023-03-10</t>
  </si>
  <si>
    <t>EMP019</t>
  </si>
  <si>
    <t>2020-01-15</t>
  </si>
  <si>
    <t>2021-08-03</t>
  </si>
  <si>
    <t>2023-08-13</t>
  </si>
  <si>
    <t>EMP020</t>
  </si>
  <si>
    <t>2024-10-06</t>
  </si>
  <si>
    <t>2025-04-04</t>
  </si>
  <si>
    <t>EMP021</t>
  </si>
  <si>
    <t>2024-02-10</t>
  </si>
  <si>
    <t>2024-08-19</t>
  </si>
  <si>
    <t>EMP022</t>
  </si>
  <si>
    <t>2025-05-06</t>
  </si>
  <si>
    <t>2025-11-02</t>
  </si>
  <si>
    <t>EMP023</t>
  </si>
  <si>
    <t>2024-11-16</t>
  </si>
  <si>
    <t>2025-09-19</t>
  </si>
  <si>
    <t>EMP024</t>
  </si>
  <si>
    <t>2021-09-28</t>
  </si>
  <si>
    <t>2024-08-26</t>
  </si>
  <si>
    <t>EMP025</t>
  </si>
  <si>
    <t>2020-03-22</t>
  </si>
  <si>
    <t>2021-03-02</t>
  </si>
  <si>
    <t>EMP026</t>
  </si>
  <si>
    <t>2023-04-14</t>
  </si>
  <si>
    <t>2024-12-30</t>
  </si>
  <si>
    <t>EMP027</t>
  </si>
  <si>
    <t>2023-06-26</t>
  </si>
  <si>
    <t>2024-04-05</t>
  </si>
  <si>
    <t>EMP028</t>
  </si>
  <si>
    <t>2025-10-21</t>
  </si>
  <si>
    <t>2026-04-19</t>
  </si>
  <si>
    <t>EMP029</t>
  </si>
  <si>
    <t>2022-07-23</t>
  </si>
  <si>
    <t>2023-09-08</t>
  </si>
  <si>
    <t>EMP030</t>
  </si>
  <si>
    <t>2024-05-01</t>
  </si>
  <si>
    <t>2024-10-28</t>
  </si>
  <si>
    <t>EMP031</t>
  </si>
  <si>
    <t>2022-11-18</t>
  </si>
  <si>
    <t>2024-06-10</t>
  </si>
  <si>
    <t>2024-12-11</t>
  </si>
  <si>
    <t>EMP032</t>
  </si>
  <si>
    <t>2024-07-21</t>
  </si>
  <si>
    <t>2025-04-15</t>
  </si>
  <si>
    <t>EMP033</t>
  </si>
  <si>
    <t>2022-12-31</t>
  </si>
  <si>
    <t>2025-08-06</t>
  </si>
  <si>
    <t>2024-03-21</t>
  </si>
  <si>
    <t>EMP034</t>
  </si>
  <si>
    <t>2025-08-15</t>
  </si>
  <si>
    <t>2026-02-11</t>
  </si>
  <si>
    <t>EMP035</t>
  </si>
  <si>
    <t>2021-04-09</t>
  </si>
  <si>
    <t>2023-12-19</t>
  </si>
  <si>
    <t>EMP036</t>
  </si>
  <si>
    <t>2021-02-13</t>
  </si>
  <si>
    <t>2023-01-15</t>
  </si>
  <si>
    <t>EMP037</t>
  </si>
  <si>
    <t>2024-05-24</t>
  </si>
  <si>
    <t>2024-11-20</t>
  </si>
  <si>
    <t>EMP038</t>
  </si>
  <si>
    <t>2021-03-03</t>
  </si>
  <si>
    <t>2023-02-22</t>
  </si>
  <si>
    <t>EMP039</t>
  </si>
  <si>
    <t>2022-09-29</t>
  </si>
  <si>
    <t>2025-06-14</t>
  </si>
  <si>
    <t>EMP040</t>
  </si>
  <si>
    <t>2024-03-26</t>
  </si>
  <si>
    <t>2024-09-22</t>
  </si>
  <si>
    <t>EMP041</t>
  </si>
  <si>
    <t>2022-01-22</t>
  </si>
  <si>
    <t>2023-11-22</t>
  </si>
  <si>
    <t>EMP042</t>
  </si>
  <si>
    <t>2025-09-11</t>
  </si>
  <si>
    <t>EMP043</t>
  </si>
  <si>
    <t>2022-08-03</t>
  </si>
  <si>
    <t>2023-07-02</t>
  </si>
  <si>
    <t>2024-06-21</t>
  </si>
  <si>
    <t>EMP044</t>
  </si>
  <si>
    <t>2022-09-13</t>
  </si>
  <si>
    <t>2025-12-15</t>
  </si>
  <si>
    <t>2024-10-27</t>
  </si>
  <si>
    <t>EMP045</t>
  </si>
  <si>
    <t>2024-12-15</t>
  </si>
  <si>
    <t>2025-06-13</t>
  </si>
  <si>
    <t>EMP046</t>
  </si>
  <si>
    <t>2023-10-06</t>
  </si>
  <si>
    <t>2024-04-03</t>
  </si>
  <si>
    <t>EMP047</t>
  </si>
  <si>
    <t>2024-10-19</t>
  </si>
  <si>
    <t>2025-04-17</t>
  </si>
  <si>
    <t>EMP048</t>
  </si>
  <si>
    <t>2024-07-11</t>
  </si>
  <si>
    <t>2025-08-20</t>
  </si>
  <si>
    <t>EMP049</t>
  </si>
  <si>
    <t>2021-12-15</t>
  </si>
  <si>
    <t>2024-11-27</t>
  </si>
  <si>
    <t>EMP050</t>
  </si>
  <si>
    <t>2025-07-04</t>
  </si>
  <si>
    <t>2026-02-20</t>
  </si>
  <si>
    <t>EMP051</t>
  </si>
  <si>
    <t>2022-12-26</t>
  </si>
  <si>
    <t>2024-10-31</t>
  </si>
  <si>
    <t>EMP052</t>
  </si>
  <si>
    <t>2023-10-24</t>
  </si>
  <si>
    <t>2024-04-21</t>
  </si>
  <si>
    <t>EMP053</t>
  </si>
  <si>
    <t>2023-06-25</t>
  </si>
  <si>
    <t>2025-03-02</t>
  </si>
  <si>
    <t>EMP054</t>
  </si>
  <si>
    <t>2025-07-11</t>
  </si>
  <si>
    <t>2026-01-07</t>
  </si>
  <si>
    <t>EMP055</t>
  </si>
  <si>
    <t>2022-07-17</t>
  </si>
  <si>
    <t>2024-03-12</t>
  </si>
  <si>
    <t>EMP056</t>
  </si>
  <si>
    <t>2023-03-05</t>
  </si>
  <si>
    <t>2024-08-30</t>
  </si>
  <si>
    <t>EMP057</t>
  </si>
  <si>
    <t>2021-09-08</t>
  </si>
  <si>
    <t>2024-03-15</t>
  </si>
  <si>
    <t>EMP058</t>
  </si>
  <si>
    <t>2023-08-03</t>
  </si>
  <si>
    <t>EMP059</t>
  </si>
  <si>
    <t>2025-01-31</t>
  </si>
  <si>
    <t>2025-07-30</t>
  </si>
  <si>
    <t>EMP060</t>
  </si>
  <si>
    <t>2024-12-17</t>
  </si>
  <si>
    <t>2025-06-15</t>
  </si>
  <si>
    <t>EMP061</t>
  </si>
  <si>
    <t>2021-03-23</t>
  </si>
  <si>
    <t>2022-07-24</t>
  </si>
  <si>
    <t>EMP062</t>
  </si>
  <si>
    <t>2020-03-12</t>
  </si>
  <si>
    <t>2022-06-07</t>
  </si>
  <si>
    <t>EMP063</t>
  </si>
  <si>
    <t>2024-10-29</t>
  </si>
  <si>
    <t>2025-04-27</t>
  </si>
  <si>
    <t>EMP064</t>
  </si>
  <si>
    <t>2021-07-27</t>
  </si>
  <si>
    <t>2022-11-06</t>
  </si>
  <si>
    <t>EMP065</t>
  </si>
  <si>
    <t>2024-06-11</t>
  </si>
  <si>
    <t>2025-11-24</t>
  </si>
  <si>
    <t>EMP066</t>
  </si>
  <si>
    <t>2025-11-11</t>
  </si>
  <si>
    <t>2026-05-10</t>
  </si>
  <si>
    <t>EMP067</t>
  </si>
  <si>
    <t>2020-01-01</t>
  </si>
  <si>
    <t>2021-09-21</t>
  </si>
  <si>
    <t>2022-04-03</t>
  </si>
  <si>
    <t>EMP068</t>
  </si>
  <si>
    <t>2025-02-23</t>
  </si>
  <si>
    <t>2025-08-22</t>
  </si>
  <si>
    <t>EMP069</t>
  </si>
  <si>
    <t>2020-05-16</t>
  </si>
  <si>
    <t>2020-12-19</t>
  </si>
  <si>
    <t>EMP070</t>
  </si>
  <si>
    <t>2020-12-29</t>
  </si>
  <si>
    <t>2024-03-24</t>
  </si>
  <si>
    <t>2024-12-28</t>
  </si>
  <si>
    <t>EMP071</t>
  </si>
  <si>
    <t>2020-11-07</t>
  </si>
  <si>
    <t>2021-12-07</t>
  </si>
  <si>
    <t>EMP072</t>
  </si>
  <si>
    <t>2024-04-16</t>
  </si>
  <si>
    <t>2024-10-13</t>
  </si>
  <si>
    <t>EMP073</t>
  </si>
  <si>
    <t>2023-02-19</t>
  </si>
  <si>
    <t>2025-03-03</t>
  </si>
  <si>
    <t>EMP074</t>
  </si>
  <si>
    <t>2022-12-10</t>
  </si>
  <si>
    <t>2026-01-04</t>
  </si>
  <si>
    <t>EMP075</t>
  </si>
  <si>
    <t>2021-08-17</t>
  </si>
  <si>
    <t>2022-07-26</t>
  </si>
  <si>
    <t>EMP076</t>
  </si>
  <si>
    <t>2021-12-21</t>
  </si>
  <si>
    <t>2022-11-02</t>
  </si>
  <si>
    <t>EMP077</t>
  </si>
  <si>
    <t>2024-07-17</t>
  </si>
  <si>
    <t>2026-04-02</t>
  </si>
  <si>
    <t>EMP078</t>
  </si>
  <si>
    <t>2024-05-28</t>
  </si>
  <si>
    <t>2024-11-24</t>
  </si>
  <si>
    <t>EMP079</t>
  </si>
  <si>
    <t>2023-04-19</t>
  </si>
  <si>
    <t>2025-08-25</t>
  </si>
  <si>
    <t>EMP080</t>
  </si>
  <si>
    <t>2024-06-05</t>
  </si>
  <si>
    <t>2026-02-15</t>
  </si>
  <si>
    <t>EMP081</t>
  </si>
  <si>
    <t>2020-01-26</t>
  </si>
  <si>
    <t>2021-09-22</t>
  </si>
  <si>
    <t>EMP082</t>
  </si>
  <si>
    <t>2022-02-05</t>
  </si>
  <si>
    <t>2024-09-23</t>
  </si>
  <si>
    <t>2026-04-27</t>
  </si>
  <si>
    <t>EMP083</t>
  </si>
  <si>
    <t>2024-03-31</t>
  </si>
  <si>
    <t>2026-02-08</t>
  </si>
  <si>
    <t>EMP084</t>
  </si>
  <si>
    <t>2021-08-01</t>
  </si>
  <si>
    <t>2024-02-03</t>
  </si>
  <si>
    <t>EMP085</t>
  </si>
  <si>
    <t>2022-01-25</t>
  </si>
  <si>
    <t>EMP086</t>
  </si>
  <si>
    <t>2021-05-10</t>
  </si>
  <si>
    <t>2023-08-10</t>
  </si>
  <si>
    <t>EMP087</t>
  </si>
  <si>
    <t>2021-02-16</t>
  </si>
  <si>
    <t>2022-04-22</t>
  </si>
  <si>
    <t>EMP088</t>
  </si>
  <si>
    <t>2022-05-19</t>
  </si>
  <si>
    <t>2025-03-26</t>
  </si>
  <si>
    <t>EMP089</t>
  </si>
  <si>
    <t>2022-04-14</t>
  </si>
  <si>
    <t>2024-09-16</t>
  </si>
  <si>
    <t>EMP090</t>
  </si>
  <si>
    <t>2025-10-09</t>
  </si>
  <si>
    <t>2026-04-07</t>
  </si>
  <si>
    <t>EMP091</t>
  </si>
  <si>
    <t>2021-01-16</t>
  </si>
  <si>
    <t>2022-02-25</t>
  </si>
  <si>
    <t>2025-03-06</t>
  </si>
  <si>
    <t>EMP092</t>
  </si>
  <si>
    <t>2026-03-25</t>
  </si>
  <si>
    <t>2026-09-21</t>
  </si>
  <si>
    <t>EMP093</t>
  </si>
  <si>
    <t>2020-07-14</t>
  </si>
  <si>
    <t>2023-10-23</t>
  </si>
  <si>
    <t>2023-12-01</t>
  </si>
  <si>
    <t>EMP094</t>
  </si>
  <si>
    <t>EMP095</t>
  </si>
  <si>
    <t>2020-07-30</t>
  </si>
  <si>
    <t>2021-10-28</t>
  </si>
  <si>
    <t>2024-06-27</t>
  </si>
  <si>
    <t>EMP096</t>
  </si>
  <si>
    <t>2025-03-22</t>
  </si>
  <si>
    <t>EMP097</t>
  </si>
  <si>
    <t>2022-04-12</t>
  </si>
  <si>
    <t>EMP098</t>
  </si>
  <si>
    <t>2024-12-21</t>
  </si>
  <si>
    <t>EMP099</t>
  </si>
  <si>
    <t>2024-07-30</t>
  </si>
  <si>
    <t>2025-10-13</t>
  </si>
  <si>
    <t>EMP100</t>
  </si>
  <si>
    <t>2023-02-25</t>
  </si>
  <si>
    <t>2023-11-25</t>
  </si>
  <si>
    <t>EMP101</t>
  </si>
  <si>
    <t>2025-02-21</t>
  </si>
  <si>
    <t>EMP102</t>
  </si>
  <si>
    <t>2024-06-04</t>
  </si>
  <si>
    <t>2024-12-01</t>
  </si>
  <si>
    <t>EMP103</t>
  </si>
  <si>
    <t>2020-12-18</t>
  </si>
  <si>
    <t>2021-08-19</t>
  </si>
  <si>
    <t>EMP104</t>
  </si>
  <si>
    <t>2024-01-12</t>
  </si>
  <si>
    <t>2024-08-11</t>
  </si>
  <si>
    <t>EMP105</t>
  </si>
  <si>
    <t>2021-11-22</t>
  </si>
  <si>
    <t>2024-07-09</t>
  </si>
  <si>
    <t>EMP106</t>
  </si>
  <si>
    <t>2020-07-23</t>
  </si>
  <si>
    <t>2021-05-26</t>
  </si>
  <si>
    <t>EMP107</t>
  </si>
  <si>
    <t>2020-07-01</t>
  </si>
  <si>
    <t>2022-05-28</t>
  </si>
  <si>
    <t>EMP108</t>
  </si>
  <si>
    <t>2022-01-21</t>
  </si>
  <si>
    <t>2023-10-20</t>
  </si>
  <si>
    <t>EMP109</t>
  </si>
  <si>
    <t>2020-11-10</t>
  </si>
  <si>
    <t>2024-01-01</t>
  </si>
  <si>
    <t>EMP110</t>
  </si>
  <si>
    <t>2023-03-17</t>
  </si>
  <si>
    <t>2025-09-05</t>
  </si>
  <si>
    <t>EMP111</t>
  </si>
  <si>
    <t>2024-03-14</t>
  </si>
  <si>
    <t>2024-09-10</t>
  </si>
  <si>
    <t>EMP112</t>
  </si>
  <si>
    <t>2020-10-17</t>
  </si>
  <si>
    <t>2022-04-07</t>
  </si>
  <si>
    <t>EMP113</t>
  </si>
  <si>
    <t>2023-07-23</t>
  </si>
  <si>
    <t>2025-12-21</t>
  </si>
  <si>
    <t>EMP114</t>
  </si>
  <si>
    <t>2020-06-24</t>
  </si>
  <si>
    <t>2023-03-16</t>
  </si>
  <si>
    <t>EMP115</t>
  </si>
  <si>
    <t>2023-10-30</t>
  </si>
  <si>
    <t>2024-04-27</t>
  </si>
  <si>
    <t>EMP116</t>
  </si>
  <si>
    <t>2020-01-04</t>
  </si>
  <si>
    <t>2022-05-04</t>
  </si>
  <si>
    <t>EMP117</t>
  </si>
  <si>
    <t>2021-09-06</t>
  </si>
  <si>
    <t>2022-12-11</t>
  </si>
  <si>
    <t>EMP118</t>
  </si>
  <si>
    <t>2024-08-12</t>
  </si>
  <si>
    <t>2025-02-08</t>
  </si>
  <si>
    <t>EMP119</t>
  </si>
  <si>
    <t>2021-10-12</t>
  </si>
  <si>
    <t>2024-03-08</t>
  </si>
  <si>
    <t>EMP120</t>
  </si>
  <si>
    <t>2022-10-28</t>
  </si>
  <si>
    <t>EMP121</t>
  </si>
  <si>
    <t>2021-03-28</t>
  </si>
  <si>
    <t>2021-12-12</t>
  </si>
  <si>
    <t>EMP122</t>
  </si>
  <si>
    <t>2022-08-11</t>
  </si>
  <si>
    <t>2024-08-15</t>
  </si>
  <si>
    <t>EMP123</t>
  </si>
  <si>
    <t>2021-05-27</t>
  </si>
  <si>
    <t>2023-12-04</t>
  </si>
  <si>
    <t>EMP124</t>
  </si>
  <si>
    <t>2023-03-14</t>
  </si>
  <si>
    <t>2025-03-01</t>
  </si>
  <si>
    <t>EMP125</t>
  </si>
  <si>
    <t>2025-08-17</t>
  </si>
  <si>
    <t>2026-02-13</t>
  </si>
  <si>
    <t>EMP126</t>
  </si>
  <si>
    <t>2022-03-19</t>
  </si>
  <si>
    <t>2024-06-24</t>
  </si>
  <si>
    <t>EMP127</t>
  </si>
  <si>
    <t>2022-10-04</t>
  </si>
  <si>
    <t>2025-05-30</t>
  </si>
  <si>
    <t>EMP128</t>
  </si>
  <si>
    <t>2023-12-22</t>
  </si>
  <si>
    <t>2025-11-03</t>
  </si>
  <si>
    <t>2026-01-12</t>
  </si>
  <si>
    <t>EMP129</t>
  </si>
  <si>
    <t>2020-07-13</t>
  </si>
  <si>
    <t>2022-05-31</t>
  </si>
  <si>
    <t>2023-11-14</t>
  </si>
  <si>
    <t>EMP130</t>
  </si>
  <si>
    <t>2021-08-07</t>
  </si>
  <si>
    <t>2024-03-01</t>
  </si>
  <si>
    <t>EMP131</t>
  </si>
  <si>
    <t>2025-12-18</t>
  </si>
  <si>
    <t>2026-06-16</t>
  </si>
  <si>
    <t>EMP132</t>
  </si>
  <si>
    <t>2021-01-18</t>
  </si>
  <si>
    <t>2022-02-22</t>
  </si>
  <si>
    <t>EMP133</t>
  </si>
  <si>
    <t>2023-07-04</t>
  </si>
  <si>
    <t>EMP134</t>
  </si>
  <si>
    <t>2024-04-20</t>
  </si>
  <si>
    <t>2024-10-17</t>
  </si>
  <si>
    <t>EMP135</t>
  </si>
  <si>
    <t>2022-06-15</t>
  </si>
  <si>
    <t>2025-02-19</t>
  </si>
  <si>
    <t>EMP136</t>
  </si>
  <si>
    <t>2023-03-29</t>
  </si>
  <si>
    <t>2026-04-03</t>
  </si>
  <si>
    <t>EMP137</t>
  </si>
  <si>
    <t>EMP138</t>
  </si>
  <si>
    <t>2021-05-25</t>
  </si>
  <si>
    <t>2023-08-24</t>
  </si>
  <si>
    <t>2022-09-02</t>
  </si>
  <si>
    <t>EMP139</t>
  </si>
  <si>
    <t>2020-02-12</t>
  </si>
  <si>
    <t>2021-04-28</t>
  </si>
  <si>
    <t>2022-05-27</t>
  </si>
  <si>
    <t>EMP140</t>
  </si>
  <si>
    <t>2020-12-12</t>
  </si>
  <si>
    <t>2022-04-18</t>
  </si>
  <si>
    <t>EMP141</t>
  </si>
  <si>
    <t>2020-02-26</t>
  </si>
  <si>
    <t>2021-08-09</t>
  </si>
  <si>
    <t>EMP142</t>
  </si>
  <si>
    <t>2020-02-25</t>
  </si>
  <si>
    <t>2021-02-27</t>
  </si>
  <si>
    <t>EMP143</t>
  </si>
  <si>
    <t>2021-10-24</t>
  </si>
  <si>
    <t>EMP144</t>
  </si>
  <si>
    <t>2023-09-04</t>
  </si>
  <si>
    <t>2024-09-06</t>
  </si>
  <si>
    <t>EMP145</t>
  </si>
  <si>
    <t>2020-12-30</t>
  </si>
  <si>
    <t>2023-10-25</t>
  </si>
  <si>
    <t>EMP146</t>
  </si>
  <si>
    <t>2022-02-26</t>
  </si>
  <si>
    <t>2025-01-19</t>
  </si>
  <si>
    <t>2025-08-21</t>
  </si>
  <si>
    <t>EMP147</t>
  </si>
  <si>
    <t>2020-01-07</t>
  </si>
  <si>
    <t>2022-07-01</t>
  </si>
  <si>
    <t>EMP148</t>
  </si>
  <si>
    <t>2025-01-17</t>
  </si>
  <si>
    <t>2025-07-16</t>
  </si>
  <si>
    <t>EMP149</t>
  </si>
  <si>
    <t>2023-09-25</t>
  </si>
  <si>
    <t>EMP150</t>
  </si>
  <si>
    <t>2025-11-16</t>
  </si>
  <si>
    <t>2026-05-15</t>
  </si>
  <si>
    <t>EMP151</t>
  </si>
  <si>
    <t>2026-03-31</t>
  </si>
  <si>
    <t>2026-09-27</t>
  </si>
  <si>
    <t>EMP152</t>
  </si>
  <si>
    <t>2021-01-07</t>
  </si>
  <si>
    <t>2023-08-08</t>
  </si>
  <si>
    <t>EMP153</t>
  </si>
  <si>
    <t>2026-03-15</t>
  </si>
  <si>
    <t>2026-09-11</t>
  </si>
  <si>
    <t>EMP154</t>
  </si>
  <si>
    <t>2024-05-02</t>
  </si>
  <si>
    <t>2025-12-27</t>
  </si>
  <si>
    <t>EMP155</t>
  </si>
  <si>
    <t>2025-07-17</t>
  </si>
  <si>
    <t>2026-01-13</t>
  </si>
  <si>
    <t>EMP156</t>
  </si>
  <si>
    <t>2026-07-22</t>
  </si>
  <si>
    <t>EMP157</t>
  </si>
  <si>
    <t>2025-06-25</t>
  </si>
  <si>
    <t>2025-12-22</t>
  </si>
  <si>
    <t>EMP158</t>
  </si>
  <si>
    <t>2022-06-18</t>
  </si>
  <si>
    <t>EMP159</t>
  </si>
  <si>
    <t>2021-05-09</t>
  </si>
  <si>
    <t>2022-02-14</t>
  </si>
  <si>
    <t>EMP160</t>
  </si>
  <si>
    <t>2023-02-17</t>
  </si>
  <si>
    <t>2025-01-14</t>
  </si>
  <si>
    <t>EMP161</t>
  </si>
  <si>
    <t>2021-10-08</t>
  </si>
  <si>
    <t>EMP162</t>
  </si>
  <si>
    <t>2020-06-14</t>
  </si>
  <si>
    <t>2021-04-25</t>
  </si>
  <si>
    <t>EMP163</t>
  </si>
  <si>
    <t>2023-08-31</t>
  </si>
  <si>
    <t>2024-07-29</t>
  </si>
  <si>
    <t>EMP164</t>
  </si>
  <si>
    <t>2020-06-08</t>
  </si>
  <si>
    <t>2022-11-19</t>
  </si>
  <si>
    <t>EMP165</t>
  </si>
  <si>
    <t>2020-03-02</t>
  </si>
  <si>
    <t>2022-08-24</t>
  </si>
  <si>
    <t>EMP166</t>
  </si>
  <si>
    <t>2023-01-26</t>
  </si>
  <si>
    <t>2024-08-31</t>
  </si>
  <si>
    <t>EMP167</t>
  </si>
  <si>
    <t>2021-03-04</t>
  </si>
  <si>
    <t>2021-09-23</t>
  </si>
  <si>
    <t>EMP168</t>
  </si>
  <si>
    <t>2026-02-02</t>
  </si>
  <si>
    <t>EMP169</t>
  </si>
  <si>
    <t>2024-08-05</t>
  </si>
  <si>
    <t>EMP170</t>
  </si>
  <si>
    <t>2023-12-09</t>
  </si>
  <si>
    <t>2026-04-09</t>
  </si>
  <si>
    <t>EMP171</t>
  </si>
  <si>
    <t>2020-05-11</t>
  </si>
  <si>
    <t>2023-07-07</t>
  </si>
  <si>
    <t>EMP172</t>
  </si>
  <si>
    <t>2024-04-01</t>
  </si>
  <si>
    <t>EMP173</t>
  </si>
  <si>
    <t>2022-02-04</t>
  </si>
  <si>
    <t>2024-02-18</t>
  </si>
  <si>
    <t>EMP174</t>
  </si>
  <si>
    <t>2023-06-10</t>
  </si>
  <si>
    <t>2025-06-05</t>
  </si>
  <si>
    <t>EMP175</t>
  </si>
  <si>
    <t>2021-08-16</t>
  </si>
  <si>
    <t>2024-01-05</t>
  </si>
  <si>
    <t>2022-05-07</t>
  </si>
  <si>
    <t>EMP176</t>
  </si>
  <si>
    <t>2025-03-13</t>
  </si>
  <si>
    <t>EMP177</t>
  </si>
  <si>
    <t>2023-08-11</t>
  </si>
  <si>
    <t>2024-11-09</t>
  </si>
  <si>
    <t>EMP178</t>
  </si>
  <si>
    <t>2026-03-03</t>
  </si>
  <si>
    <t>2026-08-30</t>
  </si>
  <si>
    <t>EMP179</t>
  </si>
  <si>
    <t>2024-07-13</t>
  </si>
  <si>
    <t>2026-04-23</t>
  </si>
  <si>
    <t>EMP180</t>
  </si>
  <si>
    <t>2023-04-30</t>
  </si>
  <si>
    <t>2025-03-07</t>
  </si>
  <si>
    <t>EMP181</t>
  </si>
  <si>
    <t>2020-11-20</t>
  </si>
  <si>
    <t>2022-08-31</t>
  </si>
  <si>
    <t>EMP182</t>
  </si>
  <si>
    <t>EMP183</t>
  </si>
  <si>
    <t>EMP184</t>
  </si>
  <si>
    <t>2024-12-06</t>
  </si>
  <si>
    <t>EMP185</t>
  </si>
  <si>
    <t>2025-11-07</t>
  </si>
  <si>
    <t>EMP186</t>
  </si>
  <si>
    <t>2023-08-27</t>
  </si>
  <si>
    <t>EMP187</t>
  </si>
  <si>
    <t>2024-05-16</t>
  </si>
  <si>
    <t>2024-11-12</t>
  </si>
  <si>
    <t>EMP188</t>
  </si>
  <si>
    <t>2025-01-28</t>
  </si>
  <si>
    <t>2026-03-09</t>
  </si>
  <si>
    <t>EMP189</t>
  </si>
  <si>
    <t>2024-06-12</t>
  </si>
  <si>
    <t>2025-09-13</t>
  </si>
  <si>
    <t>EMP190</t>
  </si>
  <si>
    <t>2026-07-06</t>
  </si>
  <si>
    <t>EMP191</t>
  </si>
  <si>
    <t>2021-05-31</t>
  </si>
  <si>
    <t>2024-02-12</t>
  </si>
  <si>
    <t>EMP192</t>
  </si>
  <si>
    <t>2025-03-23</t>
  </si>
  <si>
    <t>2025-10-06</t>
  </si>
  <si>
    <t>EMP193</t>
  </si>
  <si>
    <t>2022-10-03</t>
  </si>
  <si>
    <t>2023-04-29</t>
  </si>
  <si>
    <t>EMP194</t>
  </si>
  <si>
    <t>2020-06-01</t>
  </si>
  <si>
    <t>2022-12-08</t>
  </si>
  <si>
    <t>2024-05-20</t>
  </si>
  <si>
    <t>EMP195</t>
  </si>
  <si>
    <t>2023-09-14</t>
  </si>
  <si>
    <t>EMP196</t>
  </si>
  <si>
    <t>2020-10-28</t>
  </si>
  <si>
    <t>2022-07-10</t>
  </si>
  <si>
    <t>EMP197</t>
  </si>
  <si>
    <t>2020-09-05</t>
  </si>
  <si>
    <t>2023-03-06</t>
  </si>
  <si>
    <t>EMP198</t>
  </si>
  <si>
    <t>2023-05-26</t>
  </si>
  <si>
    <t>2024-11-07</t>
  </si>
  <si>
    <t>EMP199</t>
  </si>
  <si>
    <t>2024-05-22</t>
  </si>
  <si>
    <t>2025-05-02</t>
  </si>
  <si>
    <t>EMP200</t>
  </si>
  <si>
    <t>2021-09-01</t>
  </si>
  <si>
    <t>2022-03-02</t>
  </si>
  <si>
    <t>EMP201</t>
  </si>
  <si>
    <t>2026-02-04</t>
  </si>
  <si>
    <t>2026-08-03</t>
  </si>
  <si>
    <t>EMP202</t>
  </si>
  <si>
    <t>2022-08-21</t>
  </si>
  <si>
    <t>2024-01-19</t>
  </si>
  <si>
    <t>EMP203</t>
  </si>
  <si>
    <t>2026-04-04</t>
  </si>
  <si>
    <t>EMP204</t>
  </si>
  <si>
    <t>2021-11-20</t>
  </si>
  <si>
    <t>2023-01-18</t>
  </si>
  <si>
    <t>EMP205</t>
  </si>
  <si>
    <t>2025-03-16</t>
  </si>
  <si>
    <t>2025-09-12</t>
  </si>
  <si>
    <t>EMP206</t>
  </si>
  <si>
    <t>2024-09-01</t>
  </si>
  <si>
    <t>2025-02-28</t>
  </si>
  <si>
    <t>EMP207</t>
  </si>
  <si>
    <t>2020-07-05</t>
  </si>
  <si>
    <t>EMP208</t>
  </si>
  <si>
    <t>2022-09-20</t>
  </si>
  <si>
    <t>2024-02-14</t>
  </si>
  <si>
    <t>EMP209</t>
  </si>
  <si>
    <t>2023-05-28</t>
  </si>
  <si>
    <t>EMP210</t>
  </si>
  <si>
    <t>2023-02-11</t>
  </si>
  <si>
    <t>EMP211</t>
  </si>
  <si>
    <t>2022-03-18</t>
  </si>
  <si>
    <t>EMP212</t>
  </si>
  <si>
    <t>2021-07-11</t>
  </si>
  <si>
    <t>2024-05-06</t>
  </si>
  <si>
    <t>EMP213</t>
  </si>
  <si>
    <t>2021-02-14</t>
  </si>
  <si>
    <t>2023-01-03</t>
  </si>
  <si>
    <t>EMP214</t>
  </si>
  <si>
    <t>2023-06-04</t>
  </si>
  <si>
    <t>EMP215</t>
  </si>
  <si>
    <t>2025-11-29</t>
  </si>
  <si>
    <t>2026-05-28</t>
  </si>
  <si>
    <t>EMP216</t>
  </si>
  <si>
    <t>2025-08-13</t>
  </si>
  <si>
    <t>2026-02-09</t>
  </si>
  <si>
    <t>EMP217</t>
  </si>
  <si>
    <t>2020-01-13</t>
  </si>
  <si>
    <t>2022-07-19</t>
  </si>
  <si>
    <t>EMP218</t>
  </si>
  <si>
    <t>2024-04-30</t>
  </si>
  <si>
    <t>EMP219</t>
  </si>
  <si>
    <t>2020-04-27</t>
  </si>
  <si>
    <t>2020-11-13</t>
  </si>
  <si>
    <t>2022-11-30</t>
  </si>
  <si>
    <t>EMP220</t>
  </si>
  <si>
    <t>2023-09-28</t>
  </si>
  <si>
    <t>2024-07-31</t>
  </si>
  <si>
    <t>EMP221</t>
  </si>
  <si>
    <t>EMP222</t>
  </si>
  <si>
    <t>2023-01-12</t>
  </si>
  <si>
    <t>2024-01-30</t>
  </si>
  <si>
    <t>EMP223</t>
  </si>
  <si>
    <t>2024-10-01</t>
  </si>
  <si>
    <t>2024-05-30</t>
  </si>
  <si>
    <t>EMP224</t>
  </si>
  <si>
    <t>2024-12-23</t>
  </si>
  <si>
    <t>2025-06-21</t>
  </si>
  <si>
    <t>EMP225</t>
  </si>
  <si>
    <t>2026-06-20</t>
  </si>
  <si>
    <t>EMP226</t>
  </si>
  <si>
    <t>2022-07-11</t>
  </si>
  <si>
    <t>2024-03-17</t>
  </si>
  <si>
    <t>EMP227</t>
  </si>
  <si>
    <t>2024-07-02</t>
  </si>
  <si>
    <t>2026-02-23</t>
  </si>
  <si>
    <t>EMP228</t>
  </si>
  <si>
    <t>2024-05-23</t>
  </si>
  <si>
    <t>2024-11-19</t>
  </si>
  <si>
    <t>2025-08-23</t>
  </si>
  <si>
    <t>EMP229</t>
  </si>
  <si>
    <t>2021-04-12</t>
  </si>
  <si>
    <t>2022-10-15</t>
  </si>
  <si>
    <t>EMP230</t>
  </si>
  <si>
    <t>EMP231</t>
  </si>
  <si>
    <t>2026-04-28</t>
  </si>
  <si>
    <t>EMP232</t>
  </si>
  <si>
    <t>2023-09-19</t>
  </si>
  <si>
    <t>EMP233</t>
  </si>
  <si>
    <t>2022-09-25</t>
  </si>
  <si>
    <t>2023-04-17</t>
  </si>
  <si>
    <t>EMP234</t>
  </si>
  <si>
    <t>2021-12-14</t>
  </si>
  <si>
    <t>2023-01-01</t>
  </si>
  <si>
    <t>EMP235</t>
  </si>
  <si>
    <t>2022-03-25</t>
  </si>
  <si>
    <t>2024-02-29</t>
  </si>
  <si>
    <t>EMP236</t>
  </si>
  <si>
    <t>2020-08-30</t>
  </si>
  <si>
    <t>2021-04-14</t>
  </si>
  <si>
    <t>2022-03-05</t>
  </si>
  <si>
    <t>EMP237</t>
  </si>
  <si>
    <t>2024-11-29</t>
  </si>
  <si>
    <t>EMP238</t>
  </si>
  <si>
    <t>2024-08-01</t>
  </si>
  <si>
    <t>2025-01-30</t>
  </si>
  <si>
    <t>EMP239</t>
  </si>
  <si>
    <t>2024-11-10</t>
  </si>
  <si>
    <t>2025-05-09</t>
  </si>
  <si>
    <t>EMP240</t>
  </si>
  <si>
    <t>2025-05-28</t>
  </si>
  <si>
    <t>2025-09-08</t>
  </si>
  <si>
    <t>EMP241</t>
  </si>
  <si>
    <t>2020-12-02</t>
  </si>
  <si>
    <t>2023-04-16</t>
  </si>
  <si>
    <t>EMP242</t>
  </si>
  <si>
    <t>2024-02-15</t>
  </si>
  <si>
    <t>EMP243</t>
  </si>
  <si>
    <t>2026-02-12</t>
  </si>
  <si>
    <t>EMP244</t>
  </si>
  <si>
    <t>2020-07-17</t>
  </si>
  <si>
    <t>2022-08-22</t>
  </si>
  <si>
    <t>2023-09-23</t>
  </si>
  <si>
    <t>EMP245</t>
  </si>
  <si>
    <t>2023-04-11</t>
  </si>
  <si>
    <t>2025-09-15</t>
  </si>
  <si>
    <t>EMP246</t>
  </si>
  <si>
    <t>2024-01-22</t>
  </si>
  <si>
    <t>2025-07-18</t>
  </si>
  <si>
    <t>EMP247</t>
  </si>
  <si>
    <t>2021-08-24</t>
  </si>
  <si>
    <t>2023-12-05</t>
  </si>
  <si>
    <t>2024-12-12</t>
  </si>
  <si>
    <t>EMP248</t>
  </si>
  <si>
    <t>EMP249</t>
  </si>
  <si>
    <t>2024-09-18</t>
  </si>
  <si>
    <t>2025-05-08</t>
  </si>
  <si>
    <t>EMP250</t>
  </si>
  <si>
    <t>EMP251</t>
  </si>
  <si>
    <t>2024-05-26</t>
  </si>
  <si>
    <t>2025-04-30</t>
  </si>
  <si>
    <t>EMP252</t>
  </si>
  <si>
    <t>2022-10-12</t>
  </si>
  <si>
    <t>2025-09-06</t>
  </si>
  <si>
    <t>EMP253</t>
  </si>
  <si>
    <t>2025-10-27</t>
  </si>
  <si>
    <t>EMP254</t>
  </si>
  <si>
    <t>2020-12-17</t>
  </si>
  <si>
    <t>2023-04-12</t>
  </si>
  <si>
    <t>EMP255</t>
  </si>
  <si>
    <t>2021-11-02</t>
  </si>
  <si>
    <t>2022-06-28</t>
  </si>
  <si>
    <t>EMP256</t>
  </si>
  <si>
    <t>2025-12-01</t>
  </si>
  <si>
    <t>2026-05-30</t>
  </si>
  <si>
    <t>EMP257</t>
  </si>
  <si>
    <t>2020-11-15</t>
  </si>
  <si>
    <t>2024-02-20</t>
  </si>
  <si>
    <t>EMP258</t>
  </si>
  <si>
    <t>2022-07-12</t>
  </si>
  <si>
    <t>2023-06-09</t>
  </si>
  <si>
    <t>EMP259</t>
  </si>
  <si>
    <t>2024-06-16</t>
  </si>
  <si>
    <t>2024-12-13</t>
  </si>
  <si>
    <t>EMP260</t>
  </si>
  <si>
    <t>2023-08-02</t>
  </si>
  <si>
    <t>EMP261</t>
  </si>
  <si>
    <t>2026-01-16</t>
  </si>
  <si>
    <t>2026-07-15</t>
  </si>
  <si>
    <t>EMP262</t>
  </si>
  <si>
    <t>2024-02-19</t>
  </si>
  <si>
    <t>2024-09-13</t>
  </si>
  <si>
    <t>EMP263</t>
  </si>
  <si>
    <t>2026-08-22</t>
  </si>
  <si>
    <t>EMP264</t>
  </si>
  <si>
    <t>2024-08-14</t>
  </si>
  <si>
    <t>2025-02-10</t>
  </si>
  <si>
    <t>EMP265</t>
  </si>
  <si>
    <t>EMP266</t>
  </si>
  <si>
    <t>2021-07-25</t>
  </si>
  <si>
    <t>2023-04-21</t>
  </si>
  <si>
    <t>EMP267</t>
  </si>
  <si>
    <t>2021-10-25</t>
  </si>
  <si>
    <t>2022-12-14</t>
  </si>
  <si>
    <t>EMP268</t>
  </si>
  <si>
    <t>2025-08-14</t>
  </si>
  <si>
    <t>2026-02-10</t>
  </si>
  <si>
    <t>EMP269</t>
  </si>
  <si>
    <t>2022-12-13</t>
  </si>
  <si>
    <t>EMP270</t>
  </si>
  <si>
    <t>2025-07-28</t>
  </si>
  <si>
    <t>2026-01-24</t>
  </si>
  <si>
    <t>EMP271</t>
  </si>
  <si>
    <t>2023-11-19</t>
  </si>
  <si>
    <t>EMP272</t>
  </si>
  <si>
    <t>2024-06-30</t>
  </si>
  <si>
    <t>2024-12-27</t>
  </si>
  <si>
    <t>EMP273</t>
  </si>
  <si>
    <t>2022-05-11</t>
  </si>
  <si>
    <t>EMP274</t>
  </si>
  <si>
    <t>2025-03-29</t>
  </si>
  <si>
    <t>2025-09-25</t>
  </si>
  <si>
    <t>EMP275</t>
  </si>
  <si>
    <t>EMP276</t>
  </si>
  <si>
    <t>2025-08-29</t>
  </si>
  <si>
    <t>2026-02-25</t>
  </si>
  <si>
    <t>EMP277</t>
  </si>
  <si>
    <t>2021-06-28</t>
  </si>
  <si>
    <t>2024-06-01</t>
  </si>
  <si>
    <t>EMP278</t>
  </si>
  <si>
    <t>2025-08-03</t>
  </si>
  <si>
    <t>2026-01-30</t>
  </si>
  <si>
    <t>EMP279</t>
  </si>
  <si>
    <t>2020-10-19</t>
  </si>
  <si>
    <t>2021-12-31</t>
  </si>
  <si>
    <t>EMP280</t>
  </si>
  <si>
    <t>2020-10-22</t>
  </si>
  <si>
    <t>EMP281</t>
  </si>
  <si>
    <t>2023-12-25</t>
  </si>
  <si>
    <t>EMP282</t>
  </si>
  <si>
    <t>2025-03-17</t>
  </si>
  <si>
    <t>2026-02-19</t>
  </si>
  <si>
    <t>EMP283</t>
  </si>
  <si>
    <t>2026-03-26</t>
  </si>
  <si>
    <t>2026-09-22</t>
  </si>
  <si>
    <t>EMP284</t>
  </si>
  <si>
    <t>2024-10-02</t>
  </si>
  <si>
    <t>EMP285</t>
  </si>
  <si>
    <t>2021-04-17</t>
  </si>
  <si>
    <t>2022-04-26</t>
  </si>
  <si>
    <t>EMP286</t>
  </si>
  <si>
    <t>2025-11-18</t>
  </si>
  <si>
    <t>2026-05-17</t>
  </si>
  <si>
    <t>EMP287</t>
  </si>
  <si>
    <t>2024-06-09</t>
  </si>
  <si>
    <t>EMP288</t>
  </si>
  <si>
    <t>2021-02-28</t>
  </si>
  <si>
    <t>2024-05-09</t>
  </si>
  <si>
    <t>EMP289</t>
  </si>
  <si>
    <t>2026-04-21</t>
  </si>
  <si>
    <t>2026-10-18</t>
  </si>
  <si>
    <t>EMP290</t>
  </si>
  <si>
    <t>2020-05-04</t>
  </si>
  <si>
    <t>2022-07-13</t>
  </si>
  <si>
    <t>EMP291</t>
  </si>
  <si>
    <t>2020-09-22</t>
  </si>
  <si>
    <t>2022-11-10</t>
  </si>
  <si>
    <t>EMP292</t>
  </si>
  <si>
    <t>2023-09-26</t>
  </si>
  <si>
    <t>EMP293</t>
  </si>
  <si>
    <t>2023-03-11</t>
  </si>
  <si>
    <t>EMP294</t>
  </si>
  <si>
    <t>2025-06-20</t>
  </si>
  <si>
    <t>EMP295</t>
  </si>
  <si>
    <t>2022-07-15</t>
  </si>
  <si>
    <t>2023-12-27</t>
  </si>
  <si>
    <t>EMP296</t>
  </si>
  <si>
    <t>2023-05-02</t>
  </si>
  <si>
    <t>2025-08-01</t>
  </si>
  <si>
    <t>2025-03-14</t>
  </si>
  <si>
    <t>EMP297</t>
  </si>
  <si>
    <t>2025-06-28</t>
  </si>
  <si>
    <t>2025-12-25</t>
  </si>
  <si>
    <t>EMP298</t>
  </si>
  <si>
    <t>2020-12-11</t>
  </si>
  <si>
    <t>2022-02-24</t>
  </si>
  <si>
    <t>EMP299</t>
  </si>
  <si>
    <t>2024-07-15</t>
  </si>
  <si>
    <t>2025-05-01</t>
  </si>
  <si>
    <t>EMP300</t>
  </si>
  <si>
    <t>2023-06-08</t>
  </si>
  <si>
    <t>2025-05-27</t>
  </si>
  <si>
    <t>Attrition Status</t>
  </si>
  <si>
    <t>Tenure(years)</t>
  </si>
  <si>
    <t>Row Labels</t>
  </si>
  <si>
    <t>Grand Total</t>
  </si>
  <si>
    <t>Count of Employee ID</t>
  </si>
  <si>
    <t>Active</t>
  </si>
  <si>
    <t>Exited</t>
  </si>
  <si>
    <t>Employee Count</t>
  </si>
  <si>
    <t>Total Employees</t>
  </si>
  <si>
    <t>Column Labels</t>
  </si>
  <si>
    <t>Avg Training Hours</t>
  </si>
  <si>
    <t>HR ANALYTICS DASHBOARD</t>
  </si>
  <si>
    <t>Attrition%</t>
  </si>
  <si>
    <t>Average Salary</t>
  </si>
  <si>
    <t>AVG Training Hours</t>
  </si>
  <si>
    <t>KEY HR INSIGHTS</t>
  </si>
  <si>
    <t>1.Attrition rate stands at 22%, indicating retention challenges.</t>
  </si>
  <si>
    <t>3.Training participation varies across departments.</t>
  </si>
  <si>
    <t>4.Performance analysis highlights capability gaps.</t>
  </si>
  <si>
    <t>5.Structured onboarding and learning interventions are recommended.</t>
  </si>
  <si>
    <t>2.Operations and Finance show higher exits.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</si>
</sst>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3" tint="0.3999755851924192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/>
    <xf numFmtId="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[Employee_Master_Data_300.xlsx]Dept_Attrition!PivotTable7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Depatment-wise</a:t>
            </a:r>
            <a:r>
              <a:rPr lang="en-IN" b="1" baseline="0">
                <a:solidFill>
                  <a:sysClr val="windowText" lastClr="000000"/>
                </a:solidFill>
              </a:rPr>
              <a:t> Attrition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327825720605143"/>
          <c:y val="0.13510341322492506"/>
          <c:w val="0.74444816272965875"/>
          <c:h val="0.5881820901753618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Dept_Attrition!$B$3:$B$4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Dept_Attrition!$A$5:$A$12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Dept_Attrition!$B$5:$B$12</c:f>
              <c:numCache>
                <c:formatCode>General</c:formatCode>
                <c:ptCount val="7"/>
                <c:pt idx="0">
                  <c:v>37</c:v>
                </c:pt>
                <c:pt idx="1">
                  <c:v>33</c:v>
                </c:pt>
                <c:pt idx="2">
                  <c:v>39</c:v>
                </c:pt>
                <c:pt idx="3">
                  <c:v>36</c:v>
                </c:pt>
                <c:pt idx="4">
                  <c:v>26</c:v>
                </c:pt>
                <c:pt idx="5">
                  <c:v>27</c:v>
                </c:pt>
                <c:pt idx="6">
                  <c:v>36</c:v>
                </c:pt>
              </c:numCache>
            </c:numRef>
          </c:val>
        </c:ser>
        <c:ser>
          <c:idx val="1"/>
          <c:order val="1"/>
          <c:tx>
            <c:strRef>
              <c:f>Dept_Attrition!$C$3:$C$4</c:f>
              <c:strCache>
                <c:ptCount val="1"/>
                <c:pt idx="0">
                  <c:v>Exited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Dept_Attrition!$A$5:$A$12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Dept_Attrition!$C$5:$C$12</c:f>
              <c:numCache>
                <c:formatCode>General</c:formatCode>
                <c:ptCount val="7"/>
                <c:pt idx="0">
                  <c:v>8</c:v>
                </c:pt>
                <c:pt idx="1">
                  <c:v>3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19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934997216"/>
        <c:axId val="-934998848"/>
        <c:axId val="0"/>
      </c:bar3DChart>
      <c:catAx>
        <c:axId val="-9349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4998848"/>
        <c:crosses val="autoZero"/>
        <c:auto val="1"/>
        <c:lblAlgn val="ctr"/>
        <c:lblOffset val="100"/>
        <c:noMultiLvlLbl val="0"/>
      </c:catAx>
      <c:valAx>
        <c:axId val="-9349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499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[Employee_Master_Data_300.xlsx]Gender_Distribution!PivotTable8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Gender</a:t>
            </a:r>
            <a:r>
              <a:rPr lang="en-IN" b="1" baseline="0">
                <a:solidFill>
                  <a:sysClr val="windowText" lastClr="000000"/>
                </a:solidFill>
              </a:rPr>
              <a:t> Disttribution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444444444444448E-2"/>
          <c:y val="0.16245370370370371"/>
          <c:w val="0.80403718285214343"/>
          <c:h val="0.77736111111111106"/>
        </c:manualLayout>
      </c:layout>
      <c:pie3DChart>
        <c:varyColors val="1"/>
        <c:ser>
          <c:idx val="0"/>
          <c:order val="0"/>
          <c:tx>
            <c:strRef>
              <c:f>Gender_Distribution!$B$3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Gender_Distribution!$A$4:$A$6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Gender_Distribution!$B$4:$B$6</c:f>
              <c:numCache>
                <c:formatCode>General</c:formatCode>
                <c:ptCount val="2"/>
                <c:pt idx="0">
                  <c:v>148</c:v>
                </c:pt>
                <c:pt idx="1">
                  <c:v>152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76487314085735"/>
          <c:y val="0.75445392242636333"/>
          <c:w val="0.12945734908136483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[Employee_Master_Data_300.xlsx]Training_Analysis!PivotTable9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</a:t>
            </a:r>
            <a:r>
              <a:rPr lang="en-US" b="1" baseline="0">
                <a:solidFill>
                  <a:sysClr val="windowText" lastClr="000000"/>
                </a:solidFill>
              </a:rPr>
              <a:t> Training Hours by Department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Training_Analysis!$B$3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Training_Analysis!$A$4:$A$11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Training_Analysis!$B$4:$B$11</c:f>
              <c:numCache>
                <c:formatCode>General</c:formatCode>
                <c:ptCount val="7"/>
                <c:pt idx="0">
                  <c:v>31.444444444444443</c:v>
                </c:pt>
                <c:pt idx="1">
                  <c:v>34.361111111111114</c:v>
                </c:pt>
                <c:pt idx="2">
                  <c:v>26.714285714285715</c:v>
                </c:pt>
                <c:pt idx="3">
                  <c:v>34.125</c:v>
                </c:pt>
                <c:pt idx="4">
                  <c:v>32.393939393939391</c:v>
                </c:pt>
                <c:pt idx="5">
                  <c:v>36.630434782608695</c:v>
                </c:pt>
                <c:pt idx="6">
                  <c:v>27.13953488372093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934992320"/>
        <c:axId val="-934991232"/>
      </c:barChart>
      <c:catAx>
        <c:axId val="-93499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4991232"/>
        <c:crosses val="autoZero"/>
        <c:auto val="1"/>
        <c:lblAlgn val="ctr"/>
        <c:lblOffset val="100"/>
        <c:noMultiLvlLbl val="0"/>
      </c:catAx>
      <c:valAx>
        <c:axId val="-9349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499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[Employee_Master_Data_300.xlsx]Performance_Analysis!PivotTable10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Performance</a:t>
            </a:r>
            <a:r>
              <a:rPr lang="en-US" b="1" baseline="0">
                <a:solidFill>
                  <a:sysClr val="windowText" lastClr="000000"/>
                </a:solidFill>
              </a:rPr>
              <a:t> Rating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Performance_Analysis!$B$3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Performance_Analysis!$A$4:$A$9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Performance_Analysis!$B$4:$B$9</c:f>
              <c:numCache>
                <c:formatCode>General</c:formatCode>
                <c:ptCount val="5"/>
                <c:pt idx="0">
                  <c:v>48</c:v>
                </c:pt>
                <c:pt idx="1">
                  <c:v>63</c:v>
                </c:pt>
                <c:pt idx="2">
                  <c:v>65</c:v>
                </c:pt>
                <c:pt idx="3">
                  <c:v>60</c:v>
                </c:pt>
                <c:pt idx="4">
                  <c:v>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934998304"/>
        <c:axId val="-934997760"/>
        <c:axId val="0"/>
      </c:bar3DChart>
      <c:catAx>
        <c:axId val="-9349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4997760"/>
        <c:crosses val="autoZero"/>
        <c:auto val="1"/>
        <c:lblAlgn val="ctr"/>
        <c:lblOffset val="100"/>
        <c:noMultiLvlLbl val="0"/>
      </c:catAx>
      <c:valAx>
        <c:axId val="-93499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499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20933</xdr:colOff>
      <xdr:row>8</xdr:row>
      <xdr:rowOff>31401</xdr:rowOff>
    </xdr:from>
    <xdr:to>
      <xdr:col>7</xdr:col>
      <xdr:colOff>575686</xdr:colOff>
      <xdr:row>27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146539</xdr:colOff>
      <xdr:row>8</xdr:row>
      <xdr:rowOff>52333</xdr:rowOff>
    </xdr:from>
    <xdr:to>
      <xdr:col>17</xdr:col>
      <xdr:colOff>31401</xdr:colOff>
      <xdr:row>26</xdr:row>
      <xdr:rowOff>146538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73269</xdr:rowOff>
    </xdr:from>
    <xdr:to>
      <xdr:col>7</xdr:col>
      <xdr:colOff>575686</xdr:colOff>
      <xdr:row>44</xdr:row>
      <xdr:rowOff>105507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94203</xdr:colOff>
      <xdr:row>29</xdr:row>
      <xdr:rowOff>73270</xdr:rowOff>
    </xdr:from>
    <xdr:to>
      <xdr:col>17</xdr:col>
      <xdr:colOff>31401</xdr:colOff>
      <xdr:row>43</xdr:row>
      <xdr:rowOff>178778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vita" refreshedDate="46161.743263078701" createdVersion="5" refreshedVersion="5" minRefreshableVersion="3" recordCount="300">
  <cacheSource type="worksheet">
    <worksheetSource name="tbl_employee_master"/>
  </cacheSource>
  <cacheFields count="12">
    <cacheField name="Employee ID" numFmtId="0">
      <sharedItems count="30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  <s v="EMP101"/>
        <s v="EMP102"/>
        <s v="EMP103"/>
        <s v="EMP104"/>
        <s v="EMP105"/>
        <s v="EMP106"/>
        <s v="EMP107"/>
        <s v="EMP108"/>
        <s v="EMP109"/>
        <s v="EMP110"/>
        <s v="EMP111"/>
        <s v="EMP112"/>
        <s v="EMP113"/>
        <s v="EMP114"/>
        <s v="EMP115"/>
        <s v="EMP116"/>
        <s v="EMP117"/>
        <s v="EMP118"/>
        <s v="EMP119"/>
        <s v="EMP120"/>
        <s v="EMP121"/>
        <s v="EMP122"/>
        <s v="EMP123"/>
        <s v="EMP124"/>
        <s v="EMP125"/>
        <s v="EMP126"/>
        <s v="EMP127"/>
        <s v="EMP128"/>
        <s v="EMP129"/>
        <s v="EMP130"/>
        <s v="EMP131"/>
        <s v="EMP132"/>
        <s v="EMP133"/>
        <s v="EMP134"/>
        <s v="EMP135"/>
        <s v="EMP136"/>
        <s v="EMP137"/>
        <s v="EMP138"/>
        <s v="EMP139"/>
        <s v="EMP140"/>
        <s v="EMP141"/>
        <s v="EMP142"/>
        <s v="EMP143"/>
        <s v="EMP144"/>
        <s v="EMP145"/>
        <s v="EMP146"/>
        <s v="EMP147"/>
        <s v="EMP148"/>
        <s v="EMP149"/>
        <s v="EMP150"/>
        <s v="EMP151"/>
        <s v="EMP152"/>
        <s v="EMP153"/>
        <s v="EMP154"/>
        <s v="EMP155"/>
        <s v="EMP156"/>
        <s v="EMP157"/>
        <s v="EMP158"/>
        <s v="EMP159"/>
        <s v="EMP160"/>
        <s v="EMP161"/>
        <s v="EMP162"/>
        <s v="EMP163"/>
        <s v="EMP164"/>
        <s v="EMP165"/>
        <s v="EMP166"/>
        <s v="EMP167"/>
        <s v="EMP168"/>
        <s v="EMP169"/>
        <s v="EMP170"/>
        <s v="EMP171"/>
        <s v="EMP172"/>
        <s v="EMP173"/>
        <s v="EMP174"/>
        <s v="EMP175"/>
        <s v="EMP176"/>
        <s v="EMP177"/>
        <s v="EMP178"/>
        <s v="EMP179"/>
        <s v="EMP180"/>
        <s v="EMP181"/>
        <s v="EMP182"/>
        <s v="EMP183"/>
        <s v="EMP184"/>
        <s v="EMP185"/>
        <s v="EMP186"/>
        <s v="EMP187"/>
        <s v="EMP188"/>
        <s v="EMP189"/>
        <s v="EMP190"/>
        <s v="EMP191"/>
        <s v="EMP192"/>
        <s v="EMP193"/>
        <s v="EMP194"/>
        <s v="EMP195"/>
        <s v="EMP196"/>
        <s v="EMP197"/>
        <s v="EMP198"/>
        <s v="EMP199"/>
        <s v="EMP200"/>
        <s v="EMP201"/>
        <s v="EMP202"/>
        <s v="EMP203"/>
        <s v="EMP204"/>
        <s v="EMP205"/>
        <s v="EMP206"/>
        <s v="EMP207"/>
        <s v="EMP208"/>
        <s v="EMP209"/>
        <s v="EMP210"/>
        <s v="EMP211"/>
        <s v="EMP212"/>
        <s v="EMP213"/>
        <s v="EMP214"/>
        <s v="EMP215"/>
        <s v="EMP216"/>
        <s v="EMP217"/>
        <s v="EMP218"/>
        <s v="EMP219"/>
        <s v="EMP220"/>
        <s v="EMP221"/>
        <s v="EMP222"/>
        <s v="EMP223"/>
        <s v="EMP224"/>
        <s v="EMP225"/>
        <s v="EMP226"/>
        <s v="EMP227"/>
        <s v="EMP228"/>
        <s v="EMP229"/>
        <s v="EMP230"/>
        <s v="EMP231"/>
        <s v="EMP232"/>
        <s v="EMP233"/>
        <s v="EMP234"/>
        <s v="EMP235"/>
        <s v="EMP236"/>
        <s v="EMP237"/>
        <s v="EMP238"/>
        <s v="EMP239"/>
        <s v="EMP240"/>
        <s v="EMP241"/>
        <s v="EMP242"/>
        <s v="EMP243"/>
        <s v="EMP244"/>
        <s v="EMP245"/>
        <s v="EMP246"/>
        <s v="EMP247"/>
        <s v="EMP248"/>
        <s v="EMP249"/>
        <s v="EMP250"/>
        <s v="EMP251"/>
        <s v="EMP252"/>
        <s v="EMP253"/>
        <s v="EMP254"/>
        <s v="EMP255"/>
        <s v="EMP256"/>
        <s v="EMP257"/>
        <s v="EMP258"/>
        <s v="EMP259"/>
        <s v="EMP260"/>
        <s v="EMP261"/>
        <s v="EMP262"/>
        <s v="EMP263"/>
        <s v="EMP264"/>
        <s v="EMP265"/>
        <s v="EMP266"/>
        <s v="EMP267"/>
        <s v="EMP268"/>
        <s v="EMP269"/>
        <s v="EMP270"/>
        <s v="EMP271"/>
        <s v="EMP272"/>
        <s v="EMP273"/>
        <s v="EMP274"/>
        <s v="EMP275"/>
        <s v="EMP276"/>
        <s v="EMP277"/>
        <s v="EMP278"/>
        <s v="EMP279"/>
        <s v="EMP280"/>
        <s v="EMP281"/>
        <s v="EMP282"/>
        <s v="EMP283"/>
        <s v="EMP284"/>
        <s v="EMP285"/>
        <s v="EMP286"/>
        <s v="EMP287"/>
        <s v="EMP288"/>
        <s v="EMP289"/>
        <s v="EMP290"/>
        <s v="EMP291"/>
        <s v="EMP292"/>
        <s v="EMP293"/>
        <s v="EMP294"/>
        <s v="EMP295"/>
        <s v="EMP296"/>
        <s v="EMP297"/>
        <s v="EMP298"/>
        <s v="EMP299"/>
        <s v="EMP300"/>
      </sharedItems>
    </cacheField>
    <cacheField name="Department" numFmtId="0">
      <sharedItems count="7">
        <s v="Operations"/>
        <s v="Sales"/>
        <s v="HR"/>
        <s v="IT"/>
        <s v="Customer Support"/>
        <s v="Finance"/>
        <s v="Marketing"/>
      </sharedItems>
    </cacheField>
    <cacheField name="Joining Date" numFmtId="0">
      <sharedItems/>
    </cacheField>
    <cacheField name="Salary" numFmtId="0">
      <sharedItems containsSemiMixedTypes="0" containsString="0" containsNumber="1" containsInteger="1" minValue="303669" maxValue="1799720"/>
    </cacheField>
    <cacheField name="Age" numFmtId="0">
      <sharedItems containsSemiMixedTypes="0" containsString="0" containsNumber="1" containsInteger="1" minValue="22" maxValue="50"/>
    </cacheField>
    <cacheField name="Gender" numFmtId="0">
      <sharedItems count="2">
        <s v="Male"/>
        <s v="Female"/>
      </sharedItems>
    </cacheField>
    <cacheField name="Last Promotion Date" numFmtId="0">
      <sharedItems/>
    </cacheField>
    <cacheField name="Exit Date" numFmtId="0">
      <sharedItems containsBlank="1"/>
    </cacheField>
    <cacheField name="Performance Rating" numFmtId="0">
      <sharedItems containsSemiMixedTypes="0" containsString="0" containsNumber="1" containsInteger="1" minValue="1" maxValue="5" count="5">
        <n v="4"/>
        <n v="1"/>
        <n v="2"/>
        <n v="5"/>
        <n v="3"/>
      </sharedItems>
    </cacheField>
    <cacheField name="Training Hours Completed" numFmtId="0">
      <sharedItems containsSemiMixedTypes="0" containsString="0" containsNumber="1" containsInteger="1" minValue="0" maxValue="60"/>
    </cacheField>
    <cacheField name="Attrition Status" numFmtId="0">
      <sharedItems count="2">
        <s v="Active"/>
        <s v="Exited"/>
      </sharedItems>
    </cacheField>
    <cacheField name="Tenure(years)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s v="2021-12-09"/>
    <n v="303669"/>
    <n v="28"/>
    <x v="0"/>
    <s v="2023-11-01"/>
    <m/>
    <x v="0"/>
    <n v="48"/>
    <x v="0"/>
    <n v="4"/>
  </r>
  <r>
    <x v="1"/>
    <x v="1"/>
    <s v="2022-04-23"/>
    <n v="340564"/>
    <n v="50"/>
    <x v="1"/>
    <s v="2023-07-19"/>
    <m/>
    <x v="1"/>
    <n v="11"/>
    <x v="0"/>
    <n v="4"/>
  </r>
  <r>
    <x v="2"/>
    <x v="0"/>
    <s v="2024-09-08"/>
    <n v="768213"/>
    <n v="33"/>
    <x v="0"/>
    <s v="2025-03-30"/>
    <m/>
    <x v="0"/>
    <n v="19"/>
    <x v="0"/>
    <n v="1"/>
  </r>
  <r>
    <x v="3"/>
    <x v="2"/>
    <s v="2025-06-29"/>
    <n v="447363"/>
    <n v="41"/>
    <x v="1"/>
    <s v="2025-12-26"/>
    <m/>
    <x v="2"/>
    <n v="32"/>
    <x v="0"/>
    <n v="0"/>
  </r>
  <r>
    <x v="4"/>
    <x v="3"/>
    <s v="2024-02-08"/>
    <n v="372925"/>
    <n v="23"/>
    <x v="0"/>
    <s v="2024-08-06"/>
    <m/>
    <x v="3"/>
    <n v="57"/>
    <x v="0"/>
    <n v="2"/>
  </r>
  <r>
    <x v="5"/>
    <x v="4"/>
    <s v="2023-12-23"/>
    <n v="1434618"/>
    <n v="47"/>
    <x v="0"/>
    <s v="2024-10-08"/>
    <m/>
    <x v="3"/>
    <n v="19"/>
    <x v="0"/>
    <n v="2"/>
  </r>
  <r>
    <x v="6"/>
    <x v="2"/>
    <s v="2022-12-16"/>
    <n v="1298208"/>
    <n v="43"/>
    <x v="0"/>
    <s v="2023-12-14"/>
    <m/>
    <x v="2"/>
    <n v="27"/>
    <x v="0"/>
    <n v="3"/>
  </r>
  <r>
    <x v="7"/>
    <x v="5"/>
    <s v="2025-07-27"/>
    <n v="686525"/>
    <n v="46"/>
    <x v="1"/>
    <s v="2026-01-23"/>
    <m/>
    <x v="1"/>
    <n v="36"/>
    <x v="0"/>
    <n v="0"/>
  </r>
  <r>
    <x v="8"/>
    <x v="1"/>
    <s v="2024-07-06"/>
    <n v="1636953"/>
    <n v="39"/>
    <x v="1"/>
    <s v="2025-01-02"/>
    <m/>
    <x v="1"/>
    <n v="50"/>
    <x v="0"/>
    <n v="1"/>
  </r>
  <r>
    <x v="9"/>
    <x v="1"/>
    <s v="2022-12-15"/>
    <n v="1026770"/>
    <n v="34"/>
    <x v="1"/>
    <s v="2024-03-03"/>
    <s v="2026-04-15"/>
    <x v="2"/>
    <n v="12"/>
    <x v="1"/>
    <n v="3"/>
  </r>
  <r>
    <x v="10"/>
    <x v="0"/>
    <s v="2026-01-08"/>
    <n v="1238300"/>
    <n v="26"/>
    <x v="1"/>
    <s v="2026-07-07"/>
    <s v="2026-04-15"/>
    <x v="0"/>
    <n v="43"/>
    <x v="1"/>
    <n v="0"/>
  </r>
  <r>
    <x v="11"/>
    <x v="1"/>
    <s v="2024-12-04"/>
    <n v="985433"/>
    <n v="33"/>
    <x v="0"/>
    <s v="2025-06-02"/>
    <m/>
    <x v="3"/>
    <n v="52"/>
    <x v="0"/>
    <n v="1"/>
  </r>
  <r>
    <x v="12"/>
    <x v="5"/>
    <s v="2020-10-31"/>
    <n v="1250759"/>
    <n v="45"/>
    <x v="1"/>
    <s v="2023-05-01"/>
    <m/>
    <x v="1"/>
    <n v="56"/>
    <x v="0"/>
    <n v="5"/>
  </r>
  <r>
    <x v="13"/>
    <x v="6"/>
    <s v="2021-10-26"/>
    <n v="561057"/>
    <n v="24"/>
    <x v="1"/>
    <s v="2024-09-05"/>
    <m/>
    <x v="4"/>
    <n v="42"/>
    <x v="0"/>
    <n v="4"/>
  </r>
  <r>
    <x v="14"/>
    <x v="4"/>
    <s v="2020-01-19"/>
    <n v="783980"/>
    <n v="42"/>
    <x v="0"/>
    <s v="2021-04-30"/>
    <s v="2022-10-02"/>
    <x v="3"/>
    <n v="35"/>
    <x v="1"/>
    <n v="6"/>
  </r>
  <r>
    <x v="15"/>
    <x v="1"/>
    <s v="2020-11-25"/>
    <n v="1678379"/>
    <n v="31"/>
    <x v="1"/>
    <s v="2022-07-18"/>
    <m/>
    <x v="0"/>
    <n v="52"/>
    <x v="0"/>
    <n v="5"/>
  </r>
  <r>
    <x v="16"/>
    <x v="4"/>
    <s v="2025-05-17"/>
    <n v="605119"/>
    <n v="24"/>
    <x v="0"/>
    <s v="2025-11-13"/>
    <m/>
    <x v="3"/>
    <n v="49"/>
    <x v="0"/>
    <n v="1"/>
  </r>
  <r>
    <x v="17"/>
    <x v="4"/>
    <s v="2021-06-16"/>
    <n v="1591192"/>
    <n v="27"/>
    <x v="1"/>
    <s v="2023-03-10"/>
    <m/>
    <x v="4"/>
    <n v="8"/>
    <x v="0"/>
    <n v="4"/>
  </r>
  <r>
    <x v="18"/>
    <x v="0"/>
    <s v="2020-01-15"/>
    <n v="817476"/>
    <n v="31"/>
    <x v="1"/>
    <s v="2021-08-03"/>
    <s v="2023-08-13"/>
    <x v="1"/>
    <n v="4"/>
    <x v="1"/>
    <n v="6"/>
  </r>
  <r>
    <x v="19"/>
    <x v="0"/>
    <s v="2024-10-06"/>
    <n v="1621508"/>
    <n v="32"/>
    <x v="1"/>
    <s v="2025-04-04"/>
    <m/>
    <x v="3"/>
    <n v="51"/>
    <x v="0"/>
    <n v="1"/>
  </r>
  <r>
    <x v="20"/>
    <x v="4"/>
    <s v="2024-02-10"/>
    <n v="381467"/>
    <n v="35"/>
    <x v="0"/>
    <s v="2024-08-19"/>
    <m/>
    <x v="4"/>
    <n v="22"/>
    <x v="0"/>
    <n v="2"/>
  </r>
  <r>
    <x v="21"/>
    <x v="0"/>
    <s v="2025-05-06"/>
    <n v="1799720"/>
    <n v="34"/>
    <x v="0"/>
    <s v="2025-11-02"/>
    <s v="2026-04-15"/>
    <x v="0"/>
    <n v="17"/>
    <x v="1"/>
    <n v="1"/>
  </r>
  <r>
    <x v="22"/>
    <x v="1"/>
    <s v="2024-11-16"/>
    <n v="1797577"/>
    <n v="45"/>
    <x v="0"/>
    <s v="2025-09-19"/>
    <m/>
    <x v="3"/>
    <n v="37"/>
    <x v="0"/>
    <n v="1"/>
  </r>
  <r>
    <x v="23"/>
    <x v="5"/>
    <s v="2021-09-28"/>
    <n v="1583887"/>
    <n v="46"/>
    <x v="1"/>
    <s v="2024-08-26"/>
    <m/>
    <x v="1"/>
    <n v="40"/>
    <x v="0"/>
    <n v="4"/>
  </r>
  <r>
    <x v="24"/>
    <x v="2"/>
    <s v="2020-03-22"/>
    <n v="631206"/>
    <n v="38"/>
    <x v="1"/>
    <s v="2021-03-02"/>
    <m/>
    <x v="2"/>
    <n v="34"/>
    <x v="0"/>
    <n v="6"/>
  </r>
  <r>
    <x v="25"/>
    <x v="5"/>
    <s v="2023-04-14"/>
    <n v="543714"/>
    <n v="23"/>
    <x v="0"/>
    <s v="2024-12-30"/>
    <m/>
    <x v="0"/>
    <n v="43"/>
    <x v="0"/>
    <n v="3"/>
  </r>
  <r>
    <x v="26"/>
    <x v="4"/>
    <s v="2023-06-26"/>
    <n v="1322148"/>
    <n v="41"/>
    <x v="1"/>
    <s v="2024-04-05"/>
    <m/>
    <x v="4"/>
    <n v="37"/>
    <x v="0"/>
    <n v="2"/>
  </r>
  <r>
    <x v="27"/>
    <x v="0"/>
    <s v="2025-10-21"/>
    <n v="1663936"/>
    <n v="45"/>
    <x v="1"/>
    <s v="2026-04-19"/>
    <s v="2026-04-15"/>
    <x v="4"/>
    <n v="17"/>
    <x v="1"/>
    <n v="0"/>
  </r>
  <r>
    <x v="28"/>
    <x v="2"/>
    <s v="2022-07-23"/>
    <n v="606607"/>
    <n v="28"/>
    <x v="0"/>
    <s v="2023-09-08"/>
    <m/>
    <x v="3"/>
    <n v="13"/>
    <x v="0"/>
    <n v="3"/>
  </r>
  <r>
    <x v="29"/>
    <x v="4"/>
    <s v="2024-05-01"/>
    <n v="1075356"/>
    <n v="30"/>
    <x v="1"/>
    <s v="2024-10-28"/>
    <m/>
    <x v="1"/>
    <n v="38"/>
    <x v="0"/>
    <n v="2"/>
  </r>
  <r>
    <x v="30"/>
    <x v="0"/>
    <s v="2022-11-18"/>
    <n v="1340020"/>
    <n v="47"/>
    <x v="0"/>
    <s v="2024-06-10"/>
    <s v="2024-12-11"/>
    <x v="4"/>
    <n v="50"/>
    <x v="1"/>
    <n v="3"/>
  </r>
  <r>
    <x v="31"/>
    <x v="1"/>
    <s v="2024-07-21"/>
    <n v="1315524"/>
    <n v="43"/>
    <x v="1"/>
    <s v="2025-04-15"/>
    <m/>
    <x v="1"/>
    <n v="35"/>
    <x v="0"/>
    <n v="1"/>
  </r>
  <r>
    <x v="32"/>
    <x v="5"/>
    <s v="2022-12-31"/>
    <n v="632109"/>
    <n v="43"/>
    <x v="0"/>
    <s v="2025-08-06"/>
    <s v="2024-03-21"/>
    <x v="1"/>
    <n v="26"/>
    <x v="1"/>
    <n v="3"/>
  </r>
  <r>
    <x v="33"/>
    <x v="5"/>
    <s v="2025-08-15"/>
    <n v="812319"/>
    <n v="34"/>
    <x v="1"/>
    <s v="2026-02-11"/>
    <m/>
    <x v="3"/>
    <n v="10"/>
    <x v="0"/>
    <n v="0"/>
  </r>
  <r>
    <x v="34"/>
    <x v="5"/>
    <s v="2021-04-09"/>
    <n v="1736107"/>
    <n v="41"/>
    <x v="1"/>
    <s v="2023-12-19"/>
    <m/>
    <x v="4"/>
    <n v="60"/>
    <x v="0"/>
    <n v="5"/>
  </r>
  <r>
    <x v="35"/>
    <x v="5"/>
    <s v="2021-02-13"/>
    <n v="931160"/>
    <n v="28"/>
    <x v="0"/>
    <s v="2023-01-15"/>
    <m/>
    <x v="3"/>
    <n v="12"/>
    <x v="0"/>
    <n v="5"/>
  </r>
  <r>
    <x v="36"/>
    <x v="3"/>
    <s v="2024-05-24"/>
    <n v="1439592"/>
    <n v="38"/>
    <x v="1"/>
    <s v="2024-11-20"/>
    <m/>
    <x v="4"/>
    <n v="4"/>
    <x v="0"/>
    <n v="1"/>
  </r>
  <r>
    <x v="37"/>
    <x v="5"/>
    <s v="2021-03-03"/>
    <n v="944661"/>
    <n v="31"/>
    <x v="1"/>
    <s v="2023-02-22"/>
    <m/>
    <x v="3"/>
    <n v="25"/>
    <x v="0"/>
    <n v="5"/>
  </r>
  <r>
    <x v="38"/>
    <x v="6"/>
    <s v="2022-09-29"/>
    <n v="1536688"/>
    <n v="38"/>
    <x v="0"/>
    <s v="2025-06-14"/>
    <s v="2026-04-15"/>
    <x v="4"/>
    <n v="55"/>
    <x v="1"/>
    <n v="3"/>
  </r>
  <r>
    <x v="39"/>
    <x v="1"/>
    <s v="2024-03-26"/>
    <n v="312402"/>
    <n v="38"/>
    <x v="0"/>
    <s v="2024-09-22"/>
    <m/>
    <x v="0"/>
    <n v="40"/>
    <x v="0"/>
    <n v="2"/>
  </r>
  <r>
    <x v="40"/>
    <x v="6"/>
    <s v="2022-01-22"/>
    <n v="1043243"/>
    <n v="45"/>
    <x v="1"/>
    <s v="2023-11-22"/>
    <m/>
    <x v="2"/>
    <n v="34"/>
    <x v="0"/>
    <n v="4"/>
  </r>
  <r>
    <x v="41"/>
    <x v="3"/>
    <s v="2025-01-02"/>
    <n v="1358725"/>
    <n v="41"/>
    <x v="0"/>
    <s v="2025-09-11"/>
    <s v="2026-04-15"/>
    <x v="3"/>
    <n v="1"/>
    <x v="1"/>
    <n v="1"/>
  </r>
  <r>
    <x v="42"/>
    <x v="3"/>
    <s v="2022-08-03"/>
    <n v="508564"/>
    <n v="35"/>
    <x v="1"/>
    <s v="2023-07-02"/>
    <s v="2024-06-21"/>
    <x v="3"/>
    <n v="56"/>
    <x v="1"/>
    <n v="3"/>
  </r>
  <r>
    <x v="43"/>
    <x v="4"/>
    <s v="2022-09-13"/>
    <n v="1664940"/>
    <n v="40"/>
    <x v="1"/>
    <s v="2025-12-15"/>
    <s v="2024-10-27"/>
    <x v="0"/>
    <n v="3"/>
    <x v="1"/>
    <n v="3"/>
  </r>
  <r>
    <x v="44"/>
    <x v="5"/>
    <s v="2024-12-15"/>
    <n v="1428788"/>
    <n v="34"/>
    <x v="1"/>
    <s v="2025-06-13"/>
    <m/>
    <x v="3"/>
    <n v="52"/>
    <x v="0"/>
    <n v="1"/>
  </r>
  <r>
    <x v="45"/>
    <x v="6"/>
    <s v="2023-10-06"/>
    <n v="1468685"/>
    <n v="37"/>
    <x v="1"/>
    <s v="2024-04-03"/>
    <m/>
    <x v="1"/>
    <n v="18"/>
    <x v="0"/>
    <n v="2"/>
  </r>
  <r>
    <x v="46"/>
    <x v="3"/>
    <s v="2024-10-19"/>
    <n v="1413056"/>
    <n v="49"/>
    <x v="1"/>
    <s v="2025-04-17"/>
    <m/>
    <x v="1"/>
    <n v="59"/>
    <x v="0"/>
    <n v="1"/>
  </r>
  <r>
    <x v="47"/>
    <x v="5"/>
    <s v="2024-07-11"/>
    <n v="977313"/>
    <n v="50"/>
    <x v="0"/>
    <s v="2025-08-20"/>
    <m/>
    <x v="4"/>
    <n v="46"/>
    <x v="0"/>
    <n v="1"/>
  </r>
  <r>
    <x v="48"/>
    <x v="5"/>
    <s v="2021-12-15"/>
    <n v="1685237"/>
    <n v="49"/>
    <x v="1"/>
    <s v="2024-11-27"/>
    <m/>
    <x v="2"/>
    <n v="41"/>
    <x v="0"/>
    <n v="4"/>
  </r>
  <r>
    <x v="49"/>
    <x v="0"/>
    <s v="2025-07-04"/>
    <n v="599455"/>
    <n v="46"/>
    <x v="0"/>
    <s v="2026-02-20"/>
    <s v="2026-04-15"/>
    <x v="1"/>
    <n v="28"/>
    <x v="1"/>
    <n v="0"/>
  </r>
  <r>
    <x v="50"/>
    <x v="3"/>
    <s v="2022-12-26"/>
    <n v="1063252"/>
    <n v="47"/>
    <x v="1"/>
    <s v="2024-10-31"/>
    <m/>
    <x v="2"/>
    <n v="9"/>
    <x v="0"/>
    <n v="3"/>
  </r>
  <r>
    <x v="51"/>
    <x v="1"/>
    <s v="2023-10-24"/>
    <n v="521620"/>
    <n v="50"/>
    <x v="0"/>
    <s v="2024-04-21"/>
    <m/>
    <x v="4"/>
    <n v="1"/>
    <x v="0"/>
    <n v="2"/>
  </r>
  <r>
    <x v="52"/>
    <x v="4"/>
    <s v="2023-06-25"/>
    <n v="1186858"/>
    <n v="46"/>
    <x v="1"/>
    <s v="2025-03-02"/>
    <m/>
    <x v="3"/>
    <n v="40"/>
    <x v="0"/>
    <n v="2"/>
  </r>
  <r>
    <x v="53"/>
    <x v="6"/>
    <s v="2025-07-11"/>
    <n v="320140"/>
    <n v="24"/>
    <x v="1"/>
    <s v="2026-01-07"/>
    <m/>
    <x v="0"/>
    <n v="4"/>
    <x v="0"/>
    <n v="0"/>
  </r>
  <r>
    <x v="54"/>
    <x v="0"/>
    <s v="2022-07-17"/>
    <n v="1602134"/>
    <n v="25"/>
    <x v="1"/>
    <s v="2024-03-12"/>
    <m/>
    <x v="0"/>
    <n v="25"/>
    <x v="0"/>
    <n v="3"/>
  </r>
  <r>
    <x v="55"/>
    <x v="0"/>
    <s v="2023-03-05"/>
    <n v="1256326"/>
    <n v="30"/>
    <x v="0"/>
    <s v="2024-08-30"/>
    <s v="2026-04-15"/>
    <x v="2"/>
    <n v="24"/>
    <x v="1"/>
    <n v="3"/>
  </r>
  <r>
    <x v="56"/>
    <x v="4"/>
    <s v="2021-09-08"/>
    <n v="677423"/>
    <n v="50"/>
    <x v="0"/>
    <s v="2024-03-15"/>
    <m/>
    <x v="1"/>
    <n v="19"/>
    <x v="0"/>
    <n v="4"/>
  </r>
  <r>
    <x v="57"/>
    <x v="4"/>
    <s v="2020-11-25"/>
    <n v="1572277"/>
    <n v="42"/>
    <x v="0"/>
    <s v="2023-08-03"/>
    <m/>
    <x v="4"/>
    <n v="26"/>
    <x v="0"/>
    <n v="5"/>
  </r>
  <r>
    <x v="58"/>
    <x v="2"/>
    <s v="2025-01-31"/>
    <n v="379857"/>
    <n v="34"/>
    <x v="1"/>
    <s v="2025-07-30"/>
    <s v="2026-04-15"/>
    <x v="4"/>
    <n v="13"/>
    <x v="1"/>
    <n v="1"/>
  </r>
  <r>
    <x v="59"/>
    <x v="6"/>
    <s v="2024-12-17"/>
    <n v="1019046"/>
    <n v="28"/>
    <x v="1"/>
    <s v="2025-06-15"/>
    <m/>
    <x v="0"/>
    <n v="46"/>
    <x v="0"/>
    <n v="1"/>
  </r>
  <r>
    <x v="60"/>
    <x v="2"/>
    <s v="2021-03-23"/>
    <n v="1653210"/>
    <n v="42"/>
    <x v="1"/>
    <s v="2022-07-24"/>
    <m/>
    <x v="0"/>
    <n v="9"/>
    <x v="0"/>
    <n v="5"/>
  </r>
  <r>
    <x v="61"/>
    <x v="6"/>
    <s v="2020-03-12"/>
    <n v="1359308"/>
    <n v="31"/>
    <x v="1"/>
    <s v="2022-06-07"/>
    <m/>
    <x v="0"/>
    <n v="50"/>
    <x v="0"/>
    <n v="6"/>
  </r>
  <r>
    <x v="62"/>
    <x v="1"/>
    <s v="2024-10-29"/>
    <n v="1434578"/>
    <n v="47"/>
    <x v="1"/>
    <s v="2025-04-27"/>
    <s v="2026-04-15"/>
    <x v="3"/>
    <n v="7"/>
    <x v="1"/>
    <n v="1"/>
  </r>
  <r>
    <x v="63"/>
    <x v="5"/>
    <s v="2021-07-27"/>
    <n v="1752705"/>
    <n v="28"/>
    <x v="1"/>
    <s v="2022-11-06"/>
    <m/>
    <x v="0"/>
    <n v="1"/>
    <x v="0"/>
    <n v="4"/>
  </r>
  <r>
    <x v="64"/>
    <x v="1"/>
    <s v="2024-06-11"/>
    <n v="1311295"/>
    <n v="47"/>
    <x v="0"/>
    <s v="2025-11-24"/>
    <m/>
    <x v="2"/>
    <n v="58"/>
    <x v="0"/>
    <n v="1"/>
  </r>
  <r>
    <x v="65"/>
    <x v="6"/>
    <s v="2025-11-11"/>
    <n v="338635"/>
    <n v="43"/>
    <x v="0"/>
    <s v="2026-05-10"/>
    <m/>
    <x v="3"/>
    <n v="35"/>
    <x v="0"/>
    <n v="0"/>
  </r>
  <r>
    <x v="66"/>
    <x v="5"/>
    <s v="2020-01-01"/>
    <n v="1078350"/>
    <n v="38"/>
    <x v="1"/>
    <s v="2021-09-21"/>
    <s v="2022-04-03"/>
    <x v="1"/>
    <n v="17"/>
    <x v="1"/>
    <n v="6"/>
  </r>
  <r>
    <x v="67"/>
    <x v="1"/>
    <s v="2025-02-23"/>
    <n v="1042332"/>
    <n v="30"/>
    <x v="0"/>
    <s v="2025-08-22"/>
    <m/>
    <x v="3"/>
    <n v="34"/>
    <x v="0"/>
    <n v="1"/>
  </r>
  <r>
    <x v="68"/>
    <x v="5"/>
    <s v="2020-05-16"/>
    <n v="1030813"/>
    <n v="26"/>
    <x v="1"/>
    <s v="2020-12-19"/>
    <m/>
    <x v="4"/>
    <n v="19"/>
    <x v="0"/>
    <n v="6"/>
  </r>
  <r>
    <x v="69"/>
    <x v="1"/>
    <s v="2020-12-29"/>
    <n v="632379"/>
    <n v="25"/>
    <x v="0"/>
    <s v="2024-03-24"/>
    <s v="2024-12-28"/>
    <x v="4"/>
    <n v="32"/>
    <x v="1"/>
    <n v="5"/>
  </r>
  <r>
    <x v="70"/>
    <x v="1"/>
    <s v="2020-11-07"/>
    <n v="621466"/>
    <n v="34"/>
    <x v="1"/>
    <s v="2021-12-07"/>
    <m/>
    <x v="3"/>
    <n v="1"/>
    <x v="0"/>
    <n v="5"/>
  </r>
  <r>
    <x v="71"/>
    <x v="4"/>
    <s v="2024-04-16"/>
    <n v="747938"/>
    <n v="41"/>
    <x v="1"/>
    <s v="2024-10-13"/>
    <m/>
    <x v="4"/>
    <n v="36"/>
    <x v="0"/>
    <n v="2"/>
  </r>
  <r>
    <x v="72"/>
    <x v="2"/>
    <s v="2023-02-19"/>
    <n v="1490328"/>
    <n v="36"/>
    <x v="1"/>
    <s v="2025-03-03"/>
    <s v="2023-11-01"/>
    <x v="0"/>
    <n v="32"/>
    <x v="1"/>
    <n v="3"/>
  </r>
  <r>
    <x v="73"/>
    <x v="2"/>
    <s v="2022-12-10"/>
    <n v="679700"/>
    <n v="49"/>
    <x v="0"/>
    <s v="2026-01-04"/>
    <m/>
    <x v="0"/>
    <n v="31"/>
    <x v="0"/>
    <n v="3"/>
  </r>
  <r>
    <x v="74"/>
    <x v="1"/>
    <s v="2021-08-17"/>
    <n v="1508941"/>
    <n v="45"/>
    <x v="1"/>
    <s v="2022-07-26"/>
    <m/>
    <x v="3"/>
    <n v="28"/>
    <x v="0"/>
    <n v="4"/>
  </r>
  <r>
    <x v="75"/>
    <x v="3"/>
    <s v="2021-12-21"/>
    <n v="1072686"/>
    <n v="31"/>
    <x v="1"/>
    <s v="2022-11-02"/>
    <m/>
    <x v="1"/>
    <n v="39"/>
    <x v="0"/>
    <n v="4"/>
  </r>
  <r>
    <x v="76"/>
    <x v="5"/>
    <s v="2024-07-17"/>
    <n v="1670540"/>
    <n v="39"/>
    <x v="0"/>
    <s v="2026-04-02"/>
    <m/>
    <x v="4"/>
    <n v="60"/>
    <x v="0"/>
    <n v="1"/>
  </r>
  <r>
    <x v="77"/>
    <x v="2"/>
    <s v="2024-05-28"/>
    <n v="1778448"/>
    <n v="39"/>
    <x v="0"/>
    <s v="2024-11-24"/>
    <m/>
    <x v="4"/>
    <n v="60"/>
    <x v="0"/>
    <n v="1"/>
  </r>
  <r>
    <x v="78"/>
    <x v="6"/>
    <s v="2023-04-19"/>
    <n v="578348"/>
    <n v="30"/>
    <x v="0"/>
    <s v="2025-08-25"/>
    <m/>
    <x v="1"/>
    <n v="17"/>
    <x v="0"/>
    <n v="3"/>
  </r>
  <r>
    <x v="79"/>
    <x v="0"/>
    <s v="2024-06-05"/>
    <n v="1170153"/>
    <n v="28"/>
    <x v="0"/>
    <s v="2026-02-15"/>
    <m/>
    <x v="1"/>
    <n v="51"/>
    <x v="0"/>
    <n v="1"/>
  </r>
  <r>
    <x v="80"/>
    <x v="3"/>
    <s v="2020-01-26"/>
    <n v="1357912"/>
    <n v="38"/>
    <x v="0"/>
    <s v="2021-09-22"/>
    <m/>
    <x v="2"/>
    <n v="42"/>
    <x v="0"/>
    <n v="6"/>
  </r>
  <r>
    <x v="81"/>
    <x v="3"/>
    <s v="2022-02-05"/>
    <n v="561660"/>
    <n v="28"/>
    <x v="0"/>
    <s v="2024-09-23"/>
    <s v="2026-04-27"/>
    <x v="0"/>
    <n v="31"/>
    <x v="1"/>
    <n v="4"/>
  </r>
  <r>
    <x v="82"/>
    <x v="6"/>
    <s v="2024-03-31"/>
    <n v="506651"/>
    <n v="32"/>
    <x v="1"/>
    <s v="2026-02-08"/>
    <m/>
    <x v="3"/>
    <n v="19"/>
    <x v="0"/>
    <n v="2"/>
  </r>
  <r>
    <x v="83"/>
    <x v="4"/>
    <s v="2021-08-01"/>
    <n v="1324777"/>
    <n v="28"/>
    <x v="0"/>
    <s v="2024-02-03"/>
    <m/>
    <x v="4"/>
    <n v="44"/>
    <x v="0"/>
    <n v="4"/>
  </r>
  <r>
    <x v="84"/>
    <x v="6"/>
    <s v="2020-01-19"/>
    <n v="840223"/>
    <n v="44"/>
    <x v="1"/>
    <s v="2022-01-25"/>
    <m/>
    <x v="4"/>
    <n v="51"/>
    <x v="0"/>
    <n v="6"/>
  </r>
  <r>
    <x v="85"/>
    <x v="2"/>
    <s v="2021-05-10"/>
    <n v="1590495"/>
    <n v="34"/>
    <x v="1"/>
    <s v="2023-08-10"/>
    <m/>
    <x v="0"/>
    <n v="28"/>
    <x v="0"/>
    <n v="5"/>
  </r>
  <r>
    <x v="86"/>
    <x v="6"/>
    <s v="2021-02-16"/>
    <n v="1791554"/>
    <n v="33"/>
    <x v="0"/>
    <s v="2022-04-22"/>
    <m/>
    <x v="4"/>
    <n v="41"/>
    <x v="0"/>
    <n v="5"/>
  </r>
  <r>
    <x v="87"/>
    <x v="4"/>
    <s v="2022-05-19"/>
    <n v="833052"/>
    <n v="31"/>
    <x v="1"/>
    <s v="2025-03-26"/>
    <m/>
    <x v="2"/>
    <n v="27"/>
    <x v="0"/>
    <n v="4"/>
  </r>
  <r>
    <x v="88"/>
    <x v="6"/>
    <s v="2022-04-14"/>
    <n v="606385"/>
    <n v="36"/>
    <x v="1"/>
    <s v="2024-09-16"/>
    <m/>
    <x v="1"/>
    <n v="30"/>
    <x v="0"/>
    <n v="4"/>
  </r>
  <r>
    <x v="89"/>
    <x v="4"/>
    <s v="2025-10-09"/>
    <n v="1493889"/>
    <n v="40"/>
    <x v="1"/>
    <s v="2026-04-07"/>
    <m/>
    <x v="3"/>
    <n v="18"/>
    <x v="0"/>
    <n v="0"/>
  </r>
  <r>
    <x v="90"/>
    <x v="3"/>
    <s v="2021-01-16"/>
    <n v="900232"/>
    <n v="38"/>
    <x v="0"/>
    <s v="2022-02-25"/>
    <s v="2025-03-06"/>
    <x v="2"/>
    <n v="24"/>
    <x v="1"/>
    <n v="5"/>
  </r>
  <r>
    <x v="91"/>
    <x v="1"/>
    <s v="2026-03-25"/>
    <n v="1161239"/>
    <n v="46"/>
    <x v="1"/>
    <s v="2026-09-21"/>
    <s v="2026-04-15"/>
    <x v="1"/>
    <n v="24"/>
    <x v="1"/>
    <n v="0"/>
  </r>
  <r>
    <x v="92"/>
    <x v="2"/>
    <s v="2020-07-14"/>
    <n v="1577562"/>
    <n v="23"/>
    <x v="1"/>
    <s v="2023-10-23"/>
    <s v="2023-12-01"/>
    <x v="2"/>
    <n v="6"/>
    <x v="1"/>
    <n v="5"/>
  </r>
  <r>
    <x v="93"/>
    <x v="0"/>
    <s v="2021-08-17"/>
    <n v="1255423"/>
    <n v="25"/>
    <x v="1"/>
    <s v="2024-09-16"/>
    <m/>
    <x v="1"/>
    <n v="46"/>
    <x v="0"/>
    <n v="4"/>
  </r>
  <r>
    <x v="94"/>
    <x v="2"/>
    <s v="2020-07-30"/>
    <n v="638505"/>
    <n v="22"/>
    <x v="1"/>
    <s v="2021-10-28"/>
    <s v="2024-06-27"/>
    <x v="4"/>
    <n v="30"/>
    <x v="1"/>
    <n v="5"/>
  </r>
  <r>
    <x v="95"/>
    <x v="4"/>
    <s v="2022-04-03"/>
    <n v="1160508"/>
    <n v="45"/>
    <x v="0"/>
    <s v="2025-03-22"/>
    <m/>
    <x v="0"/>
    <n v="35"/>
    <x v="0"/>
    <n v="4"/>
  </r>
  <r>
    <x v="96"/>
    <x v="0"/>
    <s v="2022-04-12"/>
    <n v="1242886"/>
    <n v="28"/>
    <x v="0"/>
    <s v="2024-03-26"/>
    <s v="2024-11-20"/>
    <x v="3"/>
    <n v="19"/>
    <x v="1"/>
    <n v="4"/>
  </r>
  <r>
    <x v="97"/>
    <x v="3"/>
    <s v="2024-02-10"/>
    <n v="1664050"/>
    <n v="48"/>
    <x v="1"/>
    <s v="2024-12-21"/>
    <s v="2026-04-15"/>
    <x v="2"/>
    <n v="6"/>
    <x v="1"/>
    <n v="2"/>
  </r>
  <r>
    <x v="98"/>
    <x v="5"/>
    <s v="2024-07-30"/>
    <n v="996575"/>
    <n v="24"/>
    <x v="0"/>
    <s v="2025-10-13"/>
    <m/>
    <x v="4"/>
    <n v="59"/>
    <x v="0"/>
    <n v="1"/>
  </r>
  <r>
    <x v="99"/>
    <x v="6"/>
    <s v="2023-02-25"/>
    <n v="1094529"/>
    <n v="43"/>
    <x v="0"/>
    <s v="2023-11-25"/>
    <m/>
    <x v="0"/>
    <n v="41"/>
    <x v="0"/>
    <n v="3"/>
  </r>
  <r>
    <x v="100"/>
    <x v="0"/>
    <s v="2025-02-21"/>
    <n v="1599936"/>
    <n v="48"/>
    <x v="0"/>
    <s v="2025-08-20"/>
    <m/>
    <x v="2"/>
    <n v="31"/>
    <x v="0"/>
    <n v="1"/>
  </r>
  <r>
    <x v="101"/>
    <x v="1"/>
    <s v="2024-06-04"/>
    <n v="792810"/>
    <n v="24"/>
    <x v="0"/>
    <s v="2024-12-01"/>
    <m/>
    <x v="0"/>
    <n v="28"/>
    <x v="0"/>
    <n v="1"/>
  </r>
  <r>
    <x v="102"/>
    <x v="4"/>
    <s v="2020-12-18"/>
    <n v="359566"/>
    <n v="26"/>
    <x v="1"/>
    <s v="2021-08-19"/>
    <m/>
    <x v="3"/>
    <n v="46"/>
    <x v="0"/>
    <n v="5"/>
  </r>
  <r>
    <x v="103"/>
    <x v="0"/>
    <s v="2024-01-12"/>
    <n v="1762541"/>
    <n v="50"/>
    <x v="0"/>
    <s v="2024-08-11"/>
    <m/>
    <x v="0"/>
    <n v="30"/>
    <x v="0"/>
    <n v="2"/>
  </r>
  <r>
    <x v="104"/>
    <x v="2"/>
    <s v="2021-11-22"/>
    <n v="920413"/>
    <n v="31"/>
    <x v="0"/>
    <s v="2024-07-09"/>
    <m/>
    <x v="3"/>
    <n v="7"/>
    <x v="0"/>
    <n v="4"/>
  </r>
  <r>
    <x v="105"/>
    <x v="1"/>
    <s v="2020-07-23"/>
    <n v="1242758"/>
    <n v="49"/>
    <x v="1"/>
    <s v="2021-05-26"/>
    <m/>
    <x v="4"/>
    <n v="51"/>
    <x v="0"/>
    <n v="5"/>
  </r>
  <r>
    <x v="106"/>
    <x v="3"/>
    <s v="2020-07-01"/>
    <n v="1714201"/>
    <n v="35"/>
    <x v="1"/>
    <s v="2022-05-28"/>
    <m/>
    <x v="2"/>
    <n v="60"/>
    <x v="0"/>
    <n v="5"/>
  </r>
  <r>
    <x v="107"/>
    <x v="1"/>
    <s v="2022-01-21"/>
    <n v="961139"/>
    <n v="44"/>
    <x v="1"/>
    <s v="2023-10-20"/>
    <m/>
    <x v="1"/>
    <n v="11"/>
    <x v="0"/>
    <n v="4"/>
  </r>
  <r>
    <x v="108"/>
    <x v="1"/>
    <s v="2020-11-10"/>
    <n v="469984"/>
    <n v="41"/>
    <x v="0"/>
    <s v="2024-01-01"/>
    <m/>
    <x v="0"/>
    <n v="28"/>
    <x v="0"/>
    <n v="5"/>
  </r>
  <r>
    <x v="109"/>
    <x v="1"/>
    <s v="2023-03-17"/>
    <n v="923124"/>
    <n v="26"/>
    <x v="1"/>
    <s v="2025-09-05"/>
    <m/>
    <x v="1"/>
    <n v="6"/>
    <x v="0"/>
    <n v="3"/>
  </r>
  <r>
    <x v="110"/>
    <x v="3"/>
    <s v="2024-03-14"/>
    <n v="1668414"/>
    <n v="46"/>
    <x v="1"/>
    <s v="2024-09-10"/>
    <m/>
    <x v="2"/>
    <n v="11"/>
    <x v="0"/>
    <n v="2"/>
  </r>
  <r>
    <x v="111"/>
    <x v="3"/>
    <s v="2020-10-17"/>
    <n v="1491003"/>
    <n v="49"/>
    <x v="0"/>
    <s v="2022-04-07"/>
    <m/>
    <x v="2"/>
    <n v="28"/>
    <x v="0"/>
    <n v="5"/>
  </r>
  <r>
    <x v="112"/>
    <x v="3"/>
    <s v="2023-07-23"/>
    <n v="1665919"/>
    <n v="33"/>
    <x v="1"/>
    <s v="2025-12-21"/>
    <m/>
    <x v="1"/>
    <n v="54"/>
    <x v="0"/>
    <n v="2"/>
  </r>
  <r>
    <x v="113"/>
    <x v="0"/>
    <s v="2020-06-24"/>
    <n v="1665259"/>
    <n v="43"/>
    <x v="1"/>
    <s v="2023-03-16"/>
    <m/>
    <x v="3"/>
    <n v="22"/>
    <x v="0"/>
    <n v="5"/>
  </r>
  <r>
    <x v="114"/>
    <x v="5"/>
    <s v="2023-10-30"/>
    <n v="630225"/>
    <n v="41"/>
    <x v="1"/>
    <s v="2024-04-27"/>
    <m/>
    <x v="3"/>
    <n v="22"/>
    <x v="0"/>
    <n v="2"/>
  </r>
  <r>
    <x v="115"/>
    <x v="2"/>
    <s v="2020-01-04"/>
    <n v="964463"/>
    <n v="25"/>
    <x v="0"/>
    <s v="2022-05-04"/>
    <m/>
    <x v="4"/>
    <n v="24"/>
    <x v="0"/>
    <n v="6"/>
  </r>
  <r>
    <x v="116"/>
    <x v="3"/>
    <s v="2021-09-06"/>
    <n v="995110"/>
    <n v="50"/>
    <x v="1"/>
    <s v="2022-12-11"/>
    <m/>
    <x v="3"/>
    <n v="56"/>
    <x v="0"/>
    <n v="4"/>
  </r>
  <r>
    <x v="117"/>
    <x v="5"/>
    <s v="2024-08-12"/>
    <n v="378144"/>
    <n v="38"/>
    <x v="1"/>
    <s v="2025-02-08"/>
    <s v="2026-04-15"/>
    <x v="2"/>
    <n v="37"/>
    <x v="1"/>
    <n v="1"/>
  </r>
  <r>
    <x v="118"/>
    <x v="1"/>
    <s v="2021-10-12"/>
    <n v="1228984"/>
    <n v="32"/>
    <x v="1"/>
    <s v="2024-03-08"/>
    <m/>
    <x v="0"/>
    <n v="11"/>
    <x v="0"/>
    <n v="4"/>
  </r>
  <r>
    <x v="119"/>
    <x v="2"/>
    <s v="2022-10-28"/>
    <n v="965354"/>
    <n v="42"/>
    <x v="0"/>
    <s v="2025-07-30"/>
    <m/>
    <x v="4"/>
    <n v="22"/>
    <x v="0"/>
    <n v="3"/>
  </r>
  <r>
    <x v="120"/>
    <x v="4"/>
    <s v="2021-03-28"/>
    <n v="635934"/>
    <n v="41"/>
    <x v="0"/>
    <s v="2021-12-12"/>
    <m/>
    <x v="0"/>
    <n v="16"/>
    <x v="0"/>
    <n v="5"/>
  </r>
  <r>
    <x v="121"/>
    <x v="3"/>
    <s v="2022-08-11"/>
    <n v="437707"/>
    <n v="23"/>
    <x v="0"/>
    <s v="2024-08-15"/>
    <m/>
    <x v="2"/>
    <n v="29"/>
    <x v="0"/>
    <n v="3"/>
  </r>
  <r>
    <x v="122"/>
    <x v="6"/>
    <s v="2021-05-27"/>
    <n v="664662"/>
    <n v="41"/>
    <x v="0"/>
    <s v="2023-12-04"/>
    <m/>
    <x v="3"/>
    <n v="52"/>
    <x v="0"/>
    <n v="4"/>
  </r>
  <r>
    <x v="123"/>
    <x v="6"/>
    <s v="2023-03-14"/>
    <n v="328843"/>
    <n v="42"/>
    <x v="0"/>
    <s v="2025-03-01"/>
    <m/>
    <x v="1"/>
    <n v="44"/>
    <x v="0"/>
    <n v="3"/>
  </r>
  <r>
    <x v="124"/>
    <x v="3"/>
    <s v="2025-08-17"/>
    <n v="983977"/>
    <n v="44"/>
    <x v="0"/>
    <s v="2026-02-13"/>
    <s v="2026-04-15"/>
    <x v="0"/>
    <n v="56"/>
    <x v="1"/>
    <n v="0"/>
  </r>
  <r>
    <x v="125"/>
    <x v="0"/>
    <s v="2022-03-19"/>
    <n v="1421489"/>
    <n v="35"/>
    <x v="1"/>
    <s v="2024-06-24"/>
    <m/>
    <x v="0"/>
    <n v="43"/>
    <x v="0"/>
    <n v="4"/>
  </r>
  <r>
    <x v="126"/>
    <x v="6"/>
    <s v="2022-10-04"/>
    <n v="1194410"/>
    <n v="38"/>
    <x v="0"/>
    <s v="2024-11-24"/>
    <s v="2025-05-30"/>
    <x v="3"/>
    <n v="20"/>
    <x v="1"/>
    <n v="3"/>
  </r>
  <r>
    <x v="127"/>
    <x v="6"/>
    <s v="2023-12-22"/>
    <n v="883471"/>
    <n v="28"/>
    <x v="1"/>
    <s v="2025-11-03"/>
    <s v="2026-01-12"/>
    <x v="4"/>
    <n v="48"/>
    <x v="1"/>
    <n v="2"/>
  </r>
  <r>
    <x v="128"/>
    <x v="4"/>
    <s v="2020-07-13"/>
    <n v="775394"/>
    <n v="35"/>
    <x v="1"/>
    <s v="2022-05-31"/>
    <s v="2023-11-14"/>
    <x v="2"/>
    <n v="28"/>
    <x v="1"/>
    <n v="5"/>
  </r>
  <r>
    <x v="129"/>
    <x v="0"/>
    <s v="2021-08-07"/>
    <n v="987399"/>
    <n v="27"/>
    <x v="1"/>
    <s v="2024-03-01"/>
    <m/>
    <x v="3"/>
    <n v="46"/>
    <x v="0"/>
    <n v="4"/>
  </r>
  <r>
    <x v="130"/>
    <x v="0"/>
    <s v="2025-12-18"/>
    <n v="1212470"/>
    <n v="41"/>
    <x v="1"/>
    <s v="2026-06-16"/>
    <s v="2026-04-15"/>
    <x v="0"/>
    <n v="52"/>
    <x v="1"/>
    <n v="0"/>
  </r>
  <r>
    <x v="131"/>
    <x v="5"/>
    <s v="2021-01-18"/>
    <n v="481609"/>
    <n v="24"/>
    <x v="0"/>
    <s v="2022-02-22"/>
    <m/>
    <x v="0"/>
    <n v="47"/>
    <x v="0"/>
    <n v="5"/>
  </r>
  <r>
    <x v="132"/>
    <x v="3"/>
    <s v="2023-07-04"/>
    <n v="1234948"/>
    <n v="22"/>
    <x v="1"/>
    <s v="2025-12-26"/>
    <m/>
    <x v="2"/>
    <n v="34"/>
    <x v="0"/>
    <n v="2"/>
  </r>
  <r>
    <x v="133"/>
    <x v="2"/>
    <s v="2024-04-20"/>
    <n v="722890"/>
    <n v="37"/>
    <x v="0"/>
    <s v="2024-10-17"/>
    <m/>
    <x v="0"/>
    <n v="41"/>
    <x v="0"/>
    <n v="2"/>
  </r>
  <r>
    <x v="134"/>
    <x v="4"/>
    <s v="2022-06-15"/>
    <n v="1703428"/>
    <n v="49"/>
    <x v="1"/>
    <s v="2025-02-19"/>
    <m/>
    <x v="4"/>
    <n v="50"/>
    <x v="0"/>
    <n v="3"/>
  </r>
  <r>
    <x v="135"/>
    <x v="4"/>
    <s v="2023-03-29"/>
    <n v="1706023"/>
    <n v="34"/>
    <x v="1"/>
    <s v="2026-04-03"/>
    <m/>
    <x v="4"/>
    <n v="30"/>
    <x v="0"/>
    <n v="3"/>
  </r>
  <r>
    <x v="136"/>
    <x v="3"/>
    <s v="2021-09-06"/>
    <n v="1246355"/>
    <n v="24"/>
    <x v="1"/>
    <s v="2022-09-29"/>
    <m/>
    <x v="2"/>
    <n v="45"/>
    <x v="0"/>
    <n v="4"/>
  </r>
  <r>
    <x v="137"/>
    <x v="6"/>
    <s v="2021-05-25"/>
    <n v="514630"/>
    <n v="48"/>
    <x v="0"/>
    <s v="2023-08-24"/>
    <s v="2022-09-02"/>
    <x v="0"/>
    <n v="19"/>
    <x v="1"/>
    <n v="4"/>
  </r>
  <r>
    <x v="138"/>
    <x v="2"/>
    <s v="2020-02-12"/>
    <n v="1701708"/>
    <n v="38"/>
    <x v="0"/>
    <s v="2021-04-28"/>
    <s v="2022-05-27"/>
    <x v="2"/>
    <n v="4"/>
    <x v="1"/>
    <n v="6"/>
  </r>
  <r>
    <x v="139"/>
    <x v="4"/>
    <s v="2020-12-12"/>
    <n v="490973"/>
    <n v="29"/>
    <x v="1"/>
    <s v="2022-04-18"/>
    <s v="2025-10-13"/>
    <x v="0"/>
    <n v="6"/>
    <x v="1"/>
    <n v="5"/>
  </r>
  <r>
    <x v="140"/>
    <x v="6"/>
    <s v="2020-02-26"/>
    <n v="1726137"/>
    <n v="47"/>
    <x v="0"/>
    <s v="2021-08-09"/>
    <s v="2021-01-18"/>
    <x v="2"/>
    <n v="27"/>
    <x v="1"/>
    <n v="6"/>
  </r>
  <r>
    <x v="141"/>
    <x v="3"/>
    <s v="2020-02-25"/>
    <n v="1743668"/>
    <n v="36"/>
    <x v="0"/>
    <s v="2021-02-27"/>
    <m/>
    <x v="0"/>
    <n v="33"/>
    <x v="0"/>
    <n v="6"/>
  </r>
  <r>
    <x v="142"/>
    <x v="3"/>
    <s v="2021-10-24"/>
    <n v="1597631"/>
    <n v="40"/>
    <x v="1"/>
    <s v="2022-07-23"/>
    <s v="2026-04-15"/>
    <x v="4"/>
    <n v="21"/>
    <x v="1"/>
    <n v="4"/>
  </r>
  <r>
    <x v="143"/>
    <x v="0"/>
    <s v="2023-09-04"/>
    <n v="646589"/>
    <n v="23"/>
    <x v="1"/>
    <s v="2024-09-06"/>
    <m/>
    <x v="1"/>
    <n v="48"/>
    <x v="0"/>
    <n v="2"/>
  </r>
  <r>
    <x v="144"/>
    <x v="3"/>
    <s v="2020-12-30"/>
    <n v="1596338"/>
    <n v="39"/>
    <x v="0"/>
    <s v="2023-10-25"/>
    <m/>
    <x v="0"/>
    <n v="23"/>
    <x v="0"/>
    <n v="5"/>
  </r>
  <r>
    <x v="145"/>
    <x v="0"/>
    <s v="2022-02-26"/>
    <n v="435537"/>
    <n v="35"/>
    <x v="0"/>
    <s v="2025-01-19"/>
    <s v="2025-08-21"/>
    <x v="3"/>
    <n v="21"/>
    <x v="1"/>
    <n v="4"/>
  </r>
  <r>
    <x v="146"/>
    <x v="4"/>
    <s v="2020-01-07"/>
    <n v="1159761"/>
    <n v="46"/>
    <x v="1"/>
    <s v="2022-07-01"/>
    <m/>
    <x v="4"/>
    <n v="57"/>
    <x v="0"/>
    <n v="6"/>
  </r>
  <r>
    <x v="147"/>
    <x v="1"/>
    <s v="2025-01-17"/>
    <n v="822248"/>
    <n v="44"/>
    <x v="0"/>
    <s v="2025-07-16"/>
    <m/>
    <x v="3"/>
    <n v="10"/>
    <x v="0"/>
    <n v="1"/>
  </r>
  <r>
    <x v="148"/>
    <x v="1"/>
    <s v="2023-09-25"/>
    <n v="955273"/>
    <n v="23"/>
    <x v="1"/>
    <s v="2025-02-23"/>
    <m/>
    <x v="3"/>
    <n v="30"/>
    <x v="0"/>
    <n v="2"/>
  </r>
  <r>
    <x v="149"/>
    <x v="5"/>
    <s v="2025-11-16"/>
    <n v="367740"/>
    <n v="47"/>
    <x v="0"/>
    <s v="2026-05-15"/>
    <m/>
    <x v="3"/>
    <n v="23"/>
    <x v="0"/>
    <n v="0"/>
  </r>
  <r>
    <x v="150"/>
    <x v="5"/>
    <s v="2026-03-31"/>
    <n v="1765099"/>
    <n v="29"/>
    <x v="1"/>
    <s v="2026-09-27"/>
    <m/>
    <x v="2"/>
    <n v="28"/>
    <x v="0"/>
    <n v="0"/>
  </r>
  <r>
    <x v="151"/>
    <x v="3"/>
    <s v="2021-01-07"/>
    <n v="1090576"/>
    <n v="48"/>
    <x v="1"/>
    <s v="2023-08-08"/>
    <m/>
    <x v="3"/>
    <n v="29"/>
    <x v="0"/>
    <n v="5"/>
  </r>
  <r>
    <x v="152"/>
    <x v="3"/>
    <s v="2026-03-15"/>
    <n v="1050748"/>
    <n v="42"/>
    <x v="0"/>
    <s v="2026-09-11"/>
    <s v="2026-04-15"/>
    <x v="4"/>
    <n v="20"/>
    <x v="1"/>
    <n v="0"/>
  </r>
  <r>
    <x v="153"/>
    <x v="2"/>
    <s v="2024-05-02"/>
    <n v="1170986"/>
    <n v="29"/>
    <x v="1"/>
    <s v="2025-12-27"/>
    <m/>
    <x v="3"/>
    <n v="20"/>
    <x v="0"/>
    <n v="2"/>
  </r>
  <r>
    <x v="154"/>
    <x v="0"/>
    <s v="2025-07-17"/>
    <n v="1638687"/>
    <n v="36"/>
    <x v="0"/>
    <s v="2026-01-13"/>
    <m/>
    <x v="2"/>
    <n v="60"/>
    <x v="0"/>
    <n v="0"/>
  </r>
  <r>
    <x v="155"/>
    <x v="2"/>
    <s v="2026-01-23"/>
    <n v="1722296"/>
    <n v="36"/>
    <x v="0"/>
    <s v="2026-07-22"/>
    <s v="2026-04-15"/>
    <x v="0"/>
    <n v="40"/>
    <x v="1"/>
    <n v="0"/>
  </r>
  <r>
    <x v="156"/>
    <x v="4"/>
    <s v="2025-06-25"/>
    <n v="790848"/>
    <n v="44"/>
    <x v="1"/>
    <s v="2025-12-22"/>
    <s v="2026-04-15"/>
    <x v="4"/>
    <n v="49"/>
    <x v="1"/>
    <n v="0"/>
  </r>
  <r>
    <x v="157"/>
    <x v="2"/>
    <s v="2022-06-18"/>
    <n v="874479"/>
    <n v="28"/>
    <x v="0"/>
    <s v="2023-12-01"/>
    <m/>
    <x v="4"/>
    <n v="33"/>
    <x v="0"/>
    <n v="3"/>
  </r>
  <r>
    <x v="158"/>
    <x v="6"/>
    <s v="2021-05-09"/>
    <n v="523213"/>
    <n v="33"/>
    <x v="1"/>
    <s v="2022-02-14"/>
    <m/>
    <x v="4"/>
    <n v="45"/>
    <x v="0"/>
    <n v="5"/>
  </r>
  <r>
    <x v="159"/>
    <x v="0"/>
    <s v="2023-02-17"/>
    <n v="1482858"/>
    <n v="33"/>
    <x v="0"/>
    <s v="2025-01-14"/>
    <s v="2026-04-15"/>
    <x v="0"/>
    <n v="58"/>
    <x v="1"/>
    <n v="3"/>
  </r>
  <r>
    <x v="160"/>
    <x v="0"/>
    <s v="2021-10-08"/>
    <n v="1394651"/>
    <n v="40"/>
    <x v="1"/>
    <s v="2024-04-05"/>
    <m/>
    <x v="0"/>
    <n v="19"/>
    <x v="0"/>
    <n v="4"/>
  </r>
  <r>
    <x v="161"/>
    <x v="1"/>
    <s v="2020-06-14"/>
    <n v="1298560"/>
    <n v="28"/>
    <x v="0"/>
    <s v="2021-04-25"/>
    <m/>
    <x v="4"/>
    <n v="15"/>
    <x v="0"/>
    <n v="5"/>
  </r>
  <r>
    <x v="162"/>
    <x v="1"/>
    <s v="2021-12-07"/>
    <n v="1363952"/>
    <n v="47"/>
    <x v="0"/>
    <s v="2023-08-31"/>
    <s v="2024-07-29"/>
    <x v="0"/>
    <n v="11"/>
    <x v="1"/>
    <n v="4"/>
  </r>
  <r>
    <x v="163"/>
    <x v="6"/>
    <s v="2020-06-08"/>
    <n v="857916"/>
    <n v="49"/>
    <x v="1"/>
    <s v="2022-11-19"/>
    <m/>
    <x v="3"/>
    <n v="14"/>
    <x v="0"/>
    <n v="5"/>
  </r>
  <r>
    <x v="164"/>
    <x v="1"/>
    <s v="2020-03-02"/>
    <n v="925274"/>
    <n v="23"/>
    <x v="1"/>
    <s v="2022-08-24"/>
    <m/>
    <x v="4"/>
    <n v="39"/>
    <x v="0"/>
    <n v="6"/>
  </r>
  <r>
    <x v="165"/>
    <x v="1"/>
    <s v="2023-01-26"/>
    <n v="1459880"/>
    <n v="34"/>
    <x v="0"/>
    <s v="2024-08-31"/>
    <m/>
    <x v="2"/>
    <n v="5"/>
    <x v="0"/>
    <n v="3"/>
  </r>
  <r>
    <x v="166"/>
    <x v="3"/>
    <s v="2021-03-04"/>
    <n v="907326"/>
    <n v="39"/>
    <x v="0"/>
    <s v="2021-09-23"/>
    <m/>
    <x v="4"/>
    <n v="47"/>
    <x v="0"/>
    <n v="5"/>
  </r>
  <r>
    <x v="167"/>
    <x v="4"/>
    <s v="2025-08-06"/>
    <n v="639233"/>
    <n v="49"/>
    <x v="1"/>
    <s v="2026-02-02"/>
    <m/>
    <x v="1"/>
    <n v="52"/>
    <x v="0"/>
    <n v="0"/>
  </r>
  <r>
    <x v="168"/>
    <x v="3"/>
    <s v="2021-09-23"/>
    <n v="1228068"/>
    <n v="39"/>
    <x v="0"/>
    <s v="2024-08-05"/>
    <m/>
    <x v="3"/>
    <n v="39"/>
    <x v="0"/>
    <n v="4"/>
  </r>
  <r>
    <x v="169"/>
    <x v="5"/>
    <s v="2023-12-09"/>
    <n v="449713"/>
    <n v="35"/>
    <x v="1"/>
    <s v="2026-04-09"/>
    <m/>
    <x v="0"/>
    <n v="55"/>
    <x v="0"/>
    <n v="2"/>
  </r>
  <r>
    <x v="170"/>
    <x v="5"/>
    <s v="2020-05-11"/>
    <n v="1237322"/>
    <n v="47"/>
    <x v="0"/>
    <s v="2023-07-07"/>
    <m/>
    <x v="4"/>
    <n v="3"/>
    <x v="0"/>
    <n v="6"/>
  </r>
  <r>
    <x v="171"/>
    <x v="1"/>
    <s v="2023-05-01"/>
    <n v="825138"/>
    <n v="40"/>
    <x v="1"/>
    <s v="2024-04-01"/>
    <m/>
    <x v="3"/>
    <n v="30"/>
    <x v="0"/>
    <n v="3"/>
  </r>
  <r>
    <x v="172"/>
    <x v="5"/>
    <s v="2022-02-04"/>
    <n v="1008062"/>
    <n v="23"/>
    <x v="0"/>
    <s v="2024-02-18"/>
    <m/>
    <x v="2"/>
    <n v="23"/>
    <x v="0"/>
    <n v="4"/>
  </r>
  <r>
    <x v="173"/>
    <x v="5"/>
    <s v="2023-06-10"/>
    <n v="1409434"/>
    <n v="48"/>
    <x v="1"/>
    <s v="2025-06-05"/>
    <m/>
    <x v="4"/>
    <n v="32"/>
    <x v="0"/>
    <n v="2"/>
  </r>
  <r>
    <x v="174"/>
    <x v="4"/>
    <s v="2021-08-16"/>
    <n v="1086084"/>
    <n v="27"/>
    <x v="0"/>
    <s v="2024-01-05"/>
    <s v="2022-05-07"/>
    <x v="3"/>
    <n v="52"/>
    <x v="1"/>
    <n v="4"/>
  </r>
  <r>
    <x v="175"/>
    <x v="0"/>
    <s v="2022-10-28"/>
    <n v="481417"/>
    <n v="33"/>
    <x v="0"/>
    <s v="2025-03-13"/>
    <m/>
    <x v="3"/>
    <n v="4"/>
    <x v="0"/>
    <n v="3"/>
  </r>
  <r>
    <x v="176"/>
    <x v="2"/>
    <s v="2023-08-11"/>
    <n v="380581"/>
    <n v="30"/>
    <x v="1"/>
    <s v="2026-02-02"/>
    <s v="2024-11-09"/>
    <x v="4"/>
    <n v="4"/>
    <x v="1"/>
    <n v="2"/>
  </r>
  <r>
    <x v="177"/>
    <x v="4"/>
    <s v="2026-03-03"/>
    <n v="777851"/>
    <n v="28"/>
    <x v="0"/>
    <s v="2026-08-30"/>
    <m/>
    <x v="2"/>
    <n v="22"/>
    <x v="0"/>
    <n v="0"/>
  </r>
  <r>
    <x v="178"/>
    <x v="0"/>
    <s v="2024-07-13"/>
    <n v="587895"/>
    <n v="48"/>
    <x v="0"/>
    <s v="2026-04-23"/>
    <m/>
    <x v="1"/>
    <n v="57"/>
    <x v="0"/>
    <n v="1"/>
  </r>
  <r>
    <x v="179"/>
    <x v="1"/>
    <s v="2023-04-30"/>
    <n v="1355703"/>
    <n v="48"/>
    <x v="1"/>
    <s v="2025-03-07"/>
    <m/>
    <x v="2"/>
    <n v="56"/>
    <x v="0"/>
    <n v="3"/>
  </r>
  <r>
    <x v="180"/>
    <x v="2"/>
    <s v="2020-11-20"/>
    <n v="1735061"/>
    <n v="32"/>
    <x v="1"/>
    <s v="2022-08-31"/>
    <m/>
    <x v="2"/>
    <n v="6"/>
    <x v="0"/>
    <n v="5"/>
  </r>
  <r>
    <x v="181"/>
    <x v="2"/>
    <s v="2025-06-29"/>
    <n v="1018654"/>
    <n v="50"/>
    <x v="1"/>
    <s v="2025-12-26"/>
    <m/>
    <x v="3"/>
    <n v="21"/>
    <x v="0"/>
    <n v="0"/>
  </r>
  <r>
    <x v="182"/>
    <x v="4"/>
    <s v="2023-02-25"/>
    <n v="808959"/>
    <n v="49"/>
    <x v="1"/>
    <s v="2023-08-24"/>
    <m/>
    <x v="3"/>
    <n v="46"/>
    <x v="0"/>
    <n v="3"/>
  </r>
  <r>
    <x v="183"/>
    <x v="2"/>
    <s v="2021-09-21"/>
    <n v="691799"/>
    <n v="47"/>
    <x v="0"/>
    <s v="2024-12-06"/>
    <m/>
    <x v="4"/>
    <n v="7"/>
    <x v="0"/>
    <n v="4"/>
  </r>
  <r>
    <x v="184"/>
    <x v="3"/>
    <s v="2023-03-05"/>
    <n v="1348576"/>
    <n v="45"/>
    <x v="1"/>
    <s v="2025-11-07"/>
    <m/>
    <x v="3"/>
    <n v="53"/>
    <x v="0"/>
    <n v="3"/>
  </r>
  <r>
    <x v="185"/>
    <x v="2"/>
    <s v="2023-08-27"/>
    <n v="1434870"/>
    <n v="38"/>
    <x v="0"/>
    <s v="2024-03-15"/>
    <m/>
    <x v="4"/>
    <n v="21"/>
    <x v="0"/>
    <n v="2"/>
  </r>
  <r>
    <x v="186"/>
    <x v="0"/>
    <s v="2024-05-16"/>
    <n v="1578228"/>
    <n v="47"/>
    <x v="0"/>
    <s v="2024-11-12"/>
    <m/>
    <x v="2"/>
    <n v="47"/>
    <x v="0"/>
    <n v="2"/>
  </r>
  <r>
    <x v="187"/>
    <x v="2"/>
    <s v="2025-01-28"/>
    <n v="1071739"/>
    <n v="38"/>
    <x v="0"/>
    <s v="2026-03-09"/>
    <m/>
    <x v="0"/>
    <n v="26"/>
    <x v="0"/>
    <n v="1"/>
  </r>
  <r>
    <x v="188"/>
    <x v="1"/>
    <s v="2024-06-12"/>
    <n v="903172"/>
    <n v="22"/>
    <x v="1"/>
    <s v="2025-09-13"/>
    <m/>
    <x v="0"/>
    <n v="8"/>
    <x v="0"/>
    <n v="1"/>
  </r>
  <r>
    <x v="189"/>
    <x v="0"/>
    <s v="2026-01-07"/>
    <n v="1767374"/>
    <n v="41"/>
    <x v="0"/>
    <s v="2026-07-06"/>
    <s v="2026-04-15"/>
    <x v="0"/>
    <n v="53"/>
    <x v="1"/>
    <n v="0"/>
  </r>
  <r>
    <x v="190"/>
    <x v="0"/>
    <s v="2021-05-31"/>
    <n v="1310214"/>
    <n v="31"/>
    <x v="0"/>
    <s v="2024-02-12"/>
    <m/>
    <x v="1"/>
    <n v="12"/>
    <x v="0"/>
    <n v="4"/>
  </r>
  <r>
    <x v="191"/>
    <x v="1"/>
    <s v="2025-03-23"/>
    <n v="1431494"/>
    <n v="49"/>
    <x v="1"/>
    <s v="2025-09-19"/>
    <s v="2025-10-06"/>
    <x v="2"/>
    <n v="5"/>
    <x v="1"/>
    <n v="1"/>
  </r>
  <r>
    <x v="192"/>
    <x v="5"/>
    <s v="2022-10-03"/>
    <n v="695459"/>
    <n v="48"/>
    <x v="0"/>
    <s v="2023-04-29"/>
    <m/>
    <x v="4"/>
    <n v="41"/>
    <x v="0"/>
    <n v="3"/>
  </r>
  <r>
    <x v="193"/>
    <x v="3"/>
    <s v="2020-06-01"/>
    <n v="376445"/>
    <n v="38"/>
    <x v="1"/>
    <s v="2022-12-08"/>
    <s v="2024-05-20"/>
    <x v="0"/>
    <n v="30"/>
    <x v="1"/>
    <n v="5"/>
  </r>
  <r>
    <x v="194"/>
    <x v="2"/>
    <s v="2023-09-14"/>
    <n v="1093495"/>
    <n v="33"/>
    <x v="1"/>
    <s v="2024-03-12"/>
    <m/>
    <x v="0"/>
    <n v="29"/>
    <x v="0"/>
    <n v="2"/>
  </r>
  <r>
    <x v="195"/>
    <x v="6"/>
    <s v="2020-10-28"/>
    <n v="1644015"/>
    <n v="50"/>
    <x v="0"/>
    <s v="2022-07-10"/>
    <m/>
    <x v="2"/>
    <n v="51"/>
    <x v="0"/>
    <n v="5"/>
  </r>
  <r>
    <x v="196"/>
    <x v="2"/>
    <s v="2020-09-05"/>
    <n v="1700109"/>
    <n v="49"/>
    <x v="0"/>
    <s v="2023-03-06"/>
    <m/>
    <x v="2"/>
    <n v="23"/>
    <x v="0"/>
    <n v="5"/>
  </r>
  <r>
    <x v="197"/>
    <x v="2"/>
    <s v="2023-05-26"/>
    <n v="893807"/>
    <n v="23"/>
    <x v="0"/>
    <s v="2024-11-07"/>
    <m/>
    <x v="2"/>
    <n v="17"/>
    <x v="0"/>
    <n v="2"/>
  </r>
  <r>
    <x v="198"/>
    <x v="4"/>
    <s v="2024-05-22"/>
    <n v="361380"/>
    <n v="49"/>
    <x v="1"/>
    <s v="2025-05-02"/>
    <m/>
    <x v="3"/>
    <n v="56"/>
    <x v="0"/>
    <n v="1"/>
  </r>
  <r>
    <x v="199"/>
    <x v="0"/>
    <s v="2021-09-01"/>
    <n v="1539516"/>
    <n v="47"/>
    <x v="1"/>
    <s v="2022-03-02"/>
    <m/>
    <x v="3"/>
    <n v="26"/>
    <x v="0"/>
    <n v="4"/>
  </r>
  <r>
    <x v="200"/>
    <x v="0"/>
    <s v="2026-02-04"/>
    <n v="1151729"/>
    <n v="47"/>
    <x v="0"/>
    <s v="2026-08-03"/>
    <s v="2026-04-15"/>
    <x v="1"/>
    <n v="59"/>
    <x v="1"/>
    <n v="0"/>
  </r>
  <r>
    <x v="201"/>
    <x v="3"/>
    <s v="2022-08-21"/>
    <n v="1464149"/>
    <n v="36"/>
    <x v="0"/>
    <s v="2024-01-19"/>
    <m/>
    <x v="4"/>
    <n v="37"/>
    <x v="0"/>
    <n v="3"/>
  </r>
  <r>
    <x v="202"/>
    <x v="2"/>
    <s v="2025-10-06"/>
    <n v="1524068"/>
    <n v="26"/>
    <x v="1"/>
    <s v="2026-04-04"/>
    <m/>
    <x v="3"/>
    <n v="42"/>
    <x v="0"/>
    <n v="0"/>
  </r>
  <r>
    <x v="203"/>
    <x v="6"/>
    <s v="2021-11-20"/>
    <n v="528529"/>
    <n v="45"/>
    <x v="0"/>
    <s v="2023-01-18"/>
    <m/>
    <x v="2"/>
    <n v="2"/>
    <x v="0"/>
    <n v="4"/>
  </r>
  <r>
    <x v="204"/>
    <x v="4"/>
    <s v="2025-03-16"/>
    <n v="717019"/>
    <n v="23"/>
    <x v="0"/>
    <s v="2025-09-12"/>
    <m/>
    <x v="3"/>
    <n v="16"/>
    <x v="0"/>
    <n v="1"/>
  </r>
  <r>
    <x v="205"/>
    <x v="1"/>
    <s v="2024-09-01"/>
    <n v="1226543"/>
    <n v="48"/>
    <x v="0"/>
    <s v="2025-02-28"/>
    <m/>
    <x v="2"/>
    <n v="31"/>
    <x v="0"/>
    <n v="1"/>
  </r>
  <r>
    <x v="206"/>
    <x v="3"/>
    <s v="2020-07-05"/>
    <n v="1187841"/>
    <n v="28"/>
    <x v="0"/>
    <s v="2022-07-17"/>
    <m/>
    <x v="0"/>
    <n v="49"/>
    <x v="0"/>
    <n v="5"/>
  </r>
  <r>
    <x v="207"/>
    <x v="3"/>
    <s v="2020-07-05"/>
    <n v="1319473"/>
    <n v="28"/>
    <x v="1"/>
    <s v="2022-09-20"/>
    <s v="2024-02-14"/>
    <x v="3"/>
    <n v="41"/>
    <x v="1"/>
    <n v="5"/>
  </r>
  <r>
    <x v="208"/>
    <x v="6"/>
    <s v="2023-05-28"/>
    <n v="1504685"/>
    <n v="39"/>
    <x v="1"/>
    <s v="2025-06-14"/>
    <m/>
    <x v="4"/>
    <n v="36"/>
    <x v="0"/>
    <n v="2"/>
  </r>
  <r>
    <x v="209"/>
    <x v="5"/>
    <s v="2023-02-11"/>
    <n v="1339710"/>
    <n v="47"/>
    <x v="1"/>
    <s v="2023-11-22"/>
    <m/>
    <x v="2"/>
    <n v="31"/>
    <x v="0"/>
    <n v="3"/>
  </r>
  <r>
    <x v="210"/>
    <x v="2"/>
    <s v="2022-03-18"/>
    <n v="982161"/>
    <n v="30"/>
    <x v="0"/>
    <s v="2025-03-01"/>
    <m/>
    <x v="3"/>
    <n v="56"/>
    <x v="0"/>
    <n v="4"/>
  </r>
  <r>
    <x v="211"/>
    <x v="1"/>
    <s v="2021-07-11"/>
    <n v="1347971"/>
    <n v="40"/>
    <x v="0"/>
    <s v="2024-05-06"/>
    <m/>
    <x v="1"/>
    <n v="41"/>
    <x v="0"/>
    <n v="4"/>
  </r>
  <r>
    <x v="212"/>
    <x v="0"/>
    <s v="2021-02-14"/>
    <n v="968856"/>
    <n v="32"/>
    <x v="1"/>
    <s v="2023-01-03"/>
    <m/>
    <x v="1"/>
    <n v="35"/>
    <x v="0"/>
    <n v="5"/>
  </r>
  <r>
    <x v="213"/>
    <x v="6"/>
    <s v="2023-06-04"/>
    <n v="1344887"/>
    <n v="39"/>
    <x v="1"/>
    <s v="2023-12-01"/>
    <s v="2026-04-15"/>
    <x v="1"/>
    <n v="35"/>
    <x v="1"/>
    <n v="2"/>
  </r>
  <r>
    <x v="214"/>
    <x v="3"/>
    <s v="2025-11-29"/>
    <n v="1390648"/>
    <n v="47"/>
    <x v="0"/>
    <s v="2026-05-28"/>
    <m/>
    <x v="3"/>
    <n v="37"/>
    <x v="0"/>
    <n v="0"/>
  </r>
  <r>
    <x v="215"/>
    <x v="4"/>
    <s v="2025-08-13"/>
    <n v="1117536"/>
    <n v="26"/>
    <x v="0"/>
    <s v="2026-02-09"/>
    <m/>
    <x v="2"/>
    <n v="42"/>
    <x v="0"/>
    <n v="0"/>
  </r>
  <r>
    <x v="216"/>
    <x v="1"/>
    <s v="2020-01-13"/>
    <n v="1795179"/>
    <n v="26"/>
    <x v="0"/>
    <s v="2022-07-19"/>
    <m/>
    <x v="2"/>
    <n v="23"/>
    <x v="0"/>
    <n v="6"/>
  </r>
  <r>
    <x v="217"/>
    <x v="1"/>
    <s v="2024-04-30"/>
    <n v="801975"/>
    <n v="22"/>
    <x v="0"/>
    <s v="2024-10-27"/>
    <m/>
    <x v="1"/>
    <n v="23"/>
    <x v="0"/>
    <n v="2"/>
  </r>
  <r>
    <x v="218"/>
    <x v="3"/>
    <s v="2020-04-27"/>
    <n v="975229"/>
    <n v="34"/>
    <x v="1"/>
    <s v="2020-11-13"/>
    <s v="2022-11-30"/>
    <x v="0"/>
    <n v="53"/>
    <x v="1"/>
    <n v="6"/>
  </r>
  <r>
    <x v="219"/>
    <x v="1"/>
    <s v="2023-09-28"/>
    <n v="1739216"/>
    <n v="47"/>
    <x v="0"/>
    <s v="2024-07-31"/>
    <m/>
    <x v="1"/>
    <n v="47"/>
    <x v="0"/>
    <n v="2"/>
  </r>
  <r>
    <x v="220"/>
    <x v="3"/>
    <s v="2025-08-17"/>
    <n v="603412"/>
    <n v="48"/>
    <x v="0"/>
    <s v="2026-02-13"/>
    <m/>
    <x v="0"/>
    <n v="44"/>
    <x v="0"/>
    <n v="0"/>
  </r>
  <r>
    <x v="221"/>
    <x v="4"/>
    <s v="2023-01-12"/>
    <n v="940182"/>
    <n v="49"/>
    <x v="0"/>
    <s v="2023-11-01"/>
    <s v="2024-01-30"/>
    <x v="1"/>
    <n v="10"/>
    <x v="1"/>
    <n v="3"/>
  </r>
  <r>
    <x v="222"/>
    <x v="0"/>
    <s v="2021-09-08"/>
    <n v="1431332"/>
    <n v="48"/>
    <x v="0"/>
    <s v="2024-10-01"/>
    <s v="2024-05-30"/>
    <x v="0"/>
    <n v="57"/>
    <x v="1"/>
    <n v="4"/>
  </r>
  <r>
    <x v="223"/>
    <x v="3"/>
    <s v="2024-12-23"/>
    <n v="715241"/>
    <n v="47"/>
    <x v="1"/>
    <s v="2025-06-21"/>
    <m/>
    <x v="2"/>
    <n v="17"/>
    <x v="0"/>
    <n v="1"/>
  </r>
  <r>
    <x v="224"/>
    <x v="1"/>
    <s v="2025-12-22"/>
    <n v="837352"/>
    <n v="24"/>
    <x v="0"/>
    <s v="2026-06-20"/>
    <m/>
    <x v="4"/>
    <n v="11"/>
    <x v="0"/>
    <n v="0"/>
  </r>
  <r>
    <x v="225"/>
    <x v="6"/>
    <s v="2022-07-11"/>
    <n v="934503"/>
    <n v="37"/>
    <x v="0"/>
    <s v="2024-03-17"/>
    <m/>
    <x v="3"/>
    <n v="8"/>
    <x v="0"/>
    <n v="3"/>
  </r>
  <r>
    <x v="226"/>
    <x v="2"/>
    <s v="2024-07-02"/>
    <n v="1657008"/>
    <n v="36"/>
    <x v="0"/>
    <s v="2026-02-23"/>
    <m/>
    <x v="3"/>
    <n v="50"/>
    <x v="0"/>
    <n v="1"/>
  </r>
  <r>
    <x v="227"/>
    <x v="0"/>
    <s v="2024-05-23"/>
    <n v="1276631"/>
    <n v="25"/>
    <x v="0"/>
    <s v="2024-11-19"/>
    <s v="2025-08-23"/>
    <x v="0"/>
    <n v="33"/>
    <x v="1"/>
    <n v="1"/>
  </r>
  <r>
    <x v="228"/>
    <x v="2"/>
    <s v="2021-04-12"/>
    <n v="476985"/>
    <n v="40"/>
    <x v="1"/>
    <s v="2022-10-15"/>
    <m/>
    <x v="1"/>
    <n v="16"/>
    <x v="0"/>
    <n v="5"/>
  </r>
  <r>
    <x v="229"/>
    <x v="4"/>
    <s v="2025-06-29"/>
    <n v="1105340"/>
    <n v="22"/>
    <x v="0"/>
    <s v="2025-12-26"/>
    <m/>
    <x v="2"/>
    <n v="28"/>
    <x v="0"/>
    <n v="0"/>
  </r>
  <r>
    <x v="230"/>
    <x v="3"/>
    <s v="2024-12-17"/>
    <n v="1627029"/>
    <n v="29"/>
    <x v="1"/>
    <s v="2026-04-28"/>
    <m/>
    <x v="3"/>
    <n v="39"/>
    <x v="0"/>
    <n v="1"/>
  </r>
  <r>
    <x v="231"/>
    <x v="2"/>
    <s v="2020-10-31"/>
    <n v="875094"/>
    <n v="39"/>
    <x v="1"/>
    <s v="2023-09-19"/>
    <m/>
    <x v="1"/>
    <n v="57"/>
    <x v="0"/>
    <n v="5"/>
  </r>
  <r>
    <x v="232"/>
    <x v="4"/>
    <s v="2022-09-25"/>
    <n v="1651741"/>
    <n v="29"/>
    <x v="0"/>
    <s v="2023-04-17"/>
    <m/>
    <x v="4"/>
    <n v="48"/>
    <x v="0"/>
    <n v="3"/>
  </r>
  <r>
    <x v="233"/>
    <x v="6"/>
    <s v="2021-12-14"/>
    <n v="1082078"/>
    <n v="35"/>
    <x v="1"/>
    <s v="2023-01-01"/>
    <m/>
    <x v="4"/>
    <n v="18"/>
    <x v="0"/>
    <n v="4"/>
  </r>
  <r>
    <x v="234"/>
    <x v="4"/>
    <s v="2022-03-25"/>
    <n v="878507"/>
    <n v="30"/>
    <x v="1"/>
    <s v="2024-02-29"/>
    <m/>
    <x v="2"/>
    <n v="43"/>
    <x v="0"/>
    <n v="4"/>
  </r>
  <r>
    <x v="235"/>
    <x v="4"/>
    <s v="2020-08-30"/>
    <n v="502311"/>
    <n v="43"/>
    <x v="0"/>
    <s v="2021-04-14"/>
    <s v="2022-03-05"/>
    <x v="1"/>
    <n v="32"/>
    <x v="1"/>
    <n v="5"/>
  </r>
  <r>
    <x v="236"/>
    <x v="0"/>
    <s v="2021-09-22"/>
    <n v="753715"/>
    <n v="36"/>
    <x v="0"/>
    <s v="2024-11-29"/>
    <m/>
    <x v="0"/>
    <n v="51"/>
    <x v="0"/>
    <n v="4"/>
  </r>
  <r>
    <x v="237"/>
    <x v="2"/>
    <s v="2024-08-01"/>
    <n v="1439901"/>
    <n v="30"/>
    <x v="1"/>
    <s v="2025-01-30"/>
    <m/>
    <x v="0"/>
    <n v="23"/>
    <x v="0"/>
    <n v="1"/>
  </r>
  <r>
    <x v="238"/>
    <x v="2"/>
    <s v="2024-11-10"/>
    <n v="1660753"/>
    <n v="32"/>
    <x v="0"/>
    <s v="2025-05-09"/>
    <s v="2026-04-15"/>
    <x v="3"/>
    <n v="57"/>
    <x v="1"/>
    <n v="1"/>
  </r>
  <r>
    <x v="239"/>
    <x v="0"/>
    <s v="2024-11-29"/>
    <n v="1532874"/>
    <n v="43"/>
    <x v="1"/>
    <s v="2025-05-28"/>
    <s v="2025-09-08"/>
    <x v="2"/>
    <n v="52"/>
    <x v="1"/>
    <n v="1"/>
  </r>
  <r>
    <x v="240"/>
    <x v="0"/>
    <s v="2020-12-02"/>
    <n v="1180668"/>
    <n v="26"/>
    <x v="1"/>
    <s v="2023-04-16"/>
    <m/>
    <x v="2"/>
    <n v="25"/>
    <x v="0"/>
    <n v="5"/>
  </r>
  <r>
    <x v="241"/>
    <x v="3"/>
    <s v="2021-10-24"/>
    <n v="1259829"/>
    <n v="27"/>
    <x v="0"/>
    <s v="2024-02-15"/>
    <m/>
    <x v="2"/>
    <n v="24"/>
    <x v="0"/>
    <n v="4"/>
  </r>
  <r>
    <x v="242"/>
    <x v="1"/>
    <s v="2024-06-24"/>
    <n v="443079"/>
    <n v="44"/>
    <x v="0"/>
    <s v="2026-02-12"/>
    <m/>
    <x v="3"/>
    <n v="36"/>
    <x v="0"/>
    <n v="1"/>
  </r>
  <r>
    <x v="243"/>
    <x v="2"/>
    <s v="2020-07-17"/>
    <n v="1158176"/>
    <n v="41"/>
    <x v="0"/>
    <s v="2022-08-22"/>
    <s v="2023-09-23"/>
    <x v="4"/>
    <n v="43"/>
    <x v="1"/>
    <n v="5"/>
  </r>
  <r>
    <x v="244"/>
    <x v="4"/>
    <s v="2023-04-11"/>
    <n v="858059"/>
    <n v="42"/>
    <x v="0"/>
    <s v="2025-09-15"/>
    <m/>
    <x v="0"/>
    <n v="29"/>
    <x v="0"/>
    <n v="3"/>
  </r>
  <r>
    <x v="245"/>
    <x v="6"/>
    <s v="2024-01-22"/>
    <n v="559585"/>
    <n v="26"/>
    <x v="0"/>
    <s v="2025-07-18"/>
    <m/>
    <x v="0"/>
    <n v="11"/>
    <x v="0"/>
    <n v="2"/>
  </r>
  <r>
    <x v="246"/>
    <x v="0"/>
    <s v="2021-08-24"/>
    <n v="1653879"/>
    <n v="45"/>
    <x v="1"/>
    <s v="2023-12-05"/>
    <s v="2024-12-12"/>
    <x v="4"/>
    <n v="8"/>
    <x v="1"/>
    <n v="4"/>
  </r>
  <r>
    <x v="247"/>
    <x v="2"/>
    <s v="2024-10-06"/>
    <n v="756207"/>
    <n v="45"/>
    <x v="0"/>
    <s v="2025-04-04"/>
    <m/>
    <x v="4"/>
    <n v="20"/>
    <x v="0"/>
    <n v="1"/>
  </r>
  <r>
    <x v="248"/>
    <x v="4"/>
    <s v="2024-09-18"/>
    <n v="1738334"/>
    <n v="30"/>
    <x v="0"/>
    <s v="2025-05-08"/>
    <m/>
    <x v="1"/>
    <n v="9"/>
    <x v="0"/>
    <n v="1"/>
  </r>
  <r>
    <x v="249"/>
    <x v="1"/>
    <s v="2024-05-20"/>
    <n v="325455"/>
    <n v="41"/>
    <x v="1"/>
    <s v="2024-11-16"/>
    <m/>
    <x v="2"/>
    <n v="57"/>
    <x v="0"/>
    <n v="1"/>
  </r>
  <r>
    <x v="250"/>
    <x v="2"/>
    <s v="2024-05-26"/>
    <n v="700572"/>
    <n v="22"/>
    <x v="1"/>
    <s v="2025-04-30"/>
    <m/>
    <x v="3"/>
    <n v="36"/>
    <x v="0"/>
    <n v="1"/>
  </r>
  <r>
    <x v="251"/>
    <x v="6"/>
    <s v="2022-10-12"/>
    <n v="953114"/>
    <n v="39"/>
    <x v="1"/>
    <s v="2025-09-06"/>
    <s v="2026-04-15"/>
    <x v="4"/>
    <n v="37"/>
    <x v="1"/>
    <n v="3"/>
  </r>
  <r>
    <x v="252"/>
    <x v="0"/>
    <s v="2025-04-30"/>
    <n v="1359336"/>
    <n v="31"/>
    <x v="0"/>
    <s v="2025-10-27"/>
    <s v="2026-04-15"/>
    <x v="0"/>
    <n v="50"/>
    <x v="1"/>
    <n v="1"/>
  </r>
  <r>
    <x v="253"/>
    <x v="0"/>
    <s v="2020-12-17"/>
    <n v="1433362"/>
    <n v="47"/>
    <x v="0"/>
    <s v="2023-04-12"/>
    <m/>
    <x v="0"/>
    <n v="56"/>
    <x v="0"/>
    <n v="5"/>
  </r>
  <r>
    <x v="254"/>
    <x v="3"/>
    <s v="2021-11-02"/>
    <n v="1295197"/>
    <n v="42"/>
    <x v="1"/>
    <s v="2022-06-28"/>
    <m/>
    <x v="3"/>
    <n v="51"/>
    <x v="0"/>
    <n v="4"/>
  </r>
  <r>
    <x v="255"/>
    <x v="5"/>
    <s v="2025-12-01"/>
    <n v="1417789"/>
    <n v="44"/>
    <x v="1"/>
    <s v="2026-05-30"/>
    <m/>
    <x v="1"/>
    <n v="56"/>
    <x v="0"/>
    <n v="0"/>
  </r>
  <r>
    <x v="256"/>
    <x v="5"/>
    <s v="2020-11-15"/>
    <n v="1727459"/>
    <n v="29"/>
    <x v="0"/>
    <s v="2024-02-20"/>
    <m/>
    <x v="2"/>
    <n v="26"/>
    <x v="0"/>
    <n v="5"/>
  </r>
  <r>
    <x v="257"/>
    <x v="2"/>
    <s v="2022-07-12"/>
    <n v="1602745"/>
    <n v="42"/>
    <x v="0"/>
    <s v="2023-06-09"/>
    <m/>
    <x v="2"/>
    <n v="28"/>
    <x v="0"/>
    <n v="3"/>
  </r>
  <r>
    <x v="258"/>
    <x v="4"/>
    <s v="2024-06-16"/>
    <n v="1424043"/>
    <n v="31"/>
    <x v="1"/>
    <s v="2024-12-13"/>
    <m/>
    <x v="2"/>
    <n v="0"/>
    <x v="0"/>
    <n v="1"/>
  </r>
  <r>
    <x v="259"/>
    <x v="3"/>
    <s v="2023-08-02"/>
    <n v="1563186"/>
    <n v="25"/>
    <x v="1"/>
    <s v="2026-02-12"/>
    <m/>
    <x v="4"/>
    <n v="28"/>
    <x v="0"/>
    <n v="2"/>
  </r>
  <r>
    <x v="260"/>
    <x v="3"/>
    <s v="2026-01-16"/>
    <n v="1727618"/>
    <n v="40"/>
    <x v="0"/>
    <s v="2026-07-15"/>
    <m/>
    <x v="2"/>
    <n v="30"/>
    <x v="0"/>
    <n v="0"/>
  </r>
  <r>
    <x v="261"/>
    <x v="0"/>
    <s v="2024-02-19"/>
    <n v="1056239"/>
    <n v="44"/>
    <x v="0"/>
    <s v="2024-09-13"/>
    <m/>
    <x v="1"/>
    <n v="53"/>
    <x v="0"/>
    <n v="2"/>
  </r>
  <r>
    <x v="262"/>
    <x v="6"/>
    <s v="2026-02-23"/>
    <n v="1767987"/>
    <n v="47"/>
    <x v="0"/>
    <s v="2026-08-22"/>
    <m/>
    <x v="4"/>
    <n v="46"/>
    <x v="0"/>
    <n v="0"/>
  </r>
  <r>
    <x v="263"/>
    <x v="2"/>
    <s v="2024-08-14"/>
    <n v="661623"/>
    <n v="45"/>
    <x v="1"/>
    <s v="2025-02-10"/>
    <m/>
    <x v="2"/>
    <n v="26"/>
    <x v="0"/>
    <n v="1"/>
  </r>
  <r>
    <x v="264"/>
    <x v="3"/>
    <s v="2023-02-17"/>
    <n v="1740290"/>
    <n v="27"/>
    <x v="1"/>
    <s v="2024-10-27"/>
    <m/>
    <x v="0"/>
    <n v="4"/>
    <x v="0"/>
    <n v="3"/>
  </r>
  <r>
    <x v="265"/>
    <x v="2"/>
    <s v="2021-07-25"/>
    <n v="748693"/>
    <n v="28"/>
    <x v="0"/>
    <s v="2023-04-21"/>
    <m/>
    <x v="1"/>
    <n v="54"/>
    <x v="0"/>
    <n v="4"/>
  </r>
  <r>
    <x v="266"/>
    <x v="4"/>
    <s v="2021-10-25"/>
    <n v="1679679"/>
    <n v="27"/>
    <x v="0"/>
    <s v="2022-12-14"/>
    <m/>
    <x v="1"/>
    <n v="37"/>
    <x v="0"/>
    <n v="4"/>
  </r>
  <r>
    <x v="267"/>
    <x v="4"/>
    <s v="2025-08-14"/>
    <n v="933803"/>
    <n v="25"/>
    <x v="1"/>
    <s v="2026-02-10"/>
    <m/>
    <x v="2"/>
    <n v="20"/>
    <x v="0"/>
    <n v="0"/>
  </r>
  <r>
    <x v="268"/>
    <x v="4"/>
    <s v="2022-12-13"/>
    <n v="1171518"/>
    <n v="33"/>
    <x v="0"/>
    <s v="2024-03-24"/>
    <m/>
    <x v="4"/>
    <n v="55"/>
    <x v="0"/>
    <n v="3"/>
  </r>
  <r>
    <x v="269"/>
    <x v="4"/>
    <s v="2025-07-28"/>
    <n v="1050389"/>
    <n v="48"/>
    <x v="0"/>
    <s v="2026-01-24"/>
    <m/>
    <x v="4"/>
    <n v="13"/>
    <x v="0"/>
    <n v="0"/>
  </r>
  <r>
    <x v="270"/>
    <x v="5"/>
    <s v="2023-11-19"/>
    <n v="504414"/>
    <n v="48"/>
    <x v="1"/>
    <s v="2024-11-09"/>
    <m/>
    <x v="4"/>
    <n v="43"/>
    <x v="0"/>
    <n v="2"/>
  </r>
  <r>
    <x v="271"/>
    <x v="5"/>
    <s v="2024-06-30"/>
    <n v="1440448"/>
    <n v="26"/>
    <x v="0"/>
    <s v="2024-12-27"/>
    <m/>
    <x v="3"/>
    <n v="53"/>
    <x v="0"/>
    <n v="1"/>
  </r>
  <r>
    <x v="272"/>
    <x v="2"/>
    <s v="2022-05-11"/>
    <n v="1017667"/>
    <n v="47"/>
    <x v="1"/>
    <s v="2023-07-07"/>
    <m/>
    <x v="2"/>
    <n v="23"/>
    <x v="0"/>
    <n v="4"/>
  </r>
  <r>
    <x v="273"/>
    <x v="0"/>
    <s v="2025-03-29"/>
    <n v="1455776"/>
    <n v="47"/>
    <x v="0"/>
    <s v="2025-09-25"/>
    <m/>
    <x v="2"/>
    <n v="6"/>
    <x v="0"/>
    <n v="1"/>
  </r>
  <r>
    <x v="274"/>
    <x v="3"/>
    <s v="2023-11-22"/>
    <n v="882729"/>
    <n v="38"/>
    <x v="1"/>
    <s v="2024-05-20"/>
    <m/>
    <x v="4"/>
    <n v="50"/>
    <x v="0"/>
    <n v="2"/>
  </r>
  <r>
    <x v="275"/>
    <x v="2"/>
    <s v="2025-08-29"/>
    <n v="1772986"/>
    <n v="24"/>
    <x v="1"/>
    <s v="2026-02-25"/>
    <m/>
    <x v="0"/>
    <n v="33"/>
    <x v="0"/>
    <n v="0"/>
  </r>
  <r>
    <x v="276"/>
    <x v="2"/>
    <s v="2021-06-28"/>
    <n v="1085086"/>
    <n v="35"/>
    <x v="0"/>
    <s v="2024-06-01"/>
    <m/>
    <x v="2"/>
    <n v="22"/>
    <x v="0"/>
    <n v="4"/>
  </r>
  <r>
    <x v="277"/>
    <x v="3"/>
    <s v="2025-08-03"/>
    <n v="816079"/>
    <n v="46"/>
    <x v="0"/>
    <s v="2026-01-30"/>
    <m/>
    <x v="2"/>
    <n v="0"/>
    <x v="0"/>
    <n v="0"/>
  </r>
  <r>
    <x v="278"/>
    <x v="3"/>
    <s v="2020-10-19"/>
    <n v="1144458"/>
    <n v="42"/>
    <x v="1"/>
    <s v="2021-12-31"/>
    <m/>
    <x v="1"/>
    <n v="46"/>
    <x v="0"/>
    <n v="5"/>
  </r>
  <r>
    <x v="279"/>
    <x v="0"/>
    <s v="2020-10-22"/>
    <n v="1484190"/>
    <n v="23"/>
    <x v="0"/>
    <s v="2021-10-26"/>
    <m/>
    <x v="1"/>
    <n v="41"/>
    <x v="0"/>
    <n v="5"/>
  </r>
  <r>
    <x v="280"/>
    <x v="5"/>
    <s v="2023-05-26"/>
    <n v="713135"/>
    <n v="40"/>
    <x v="0"/>
    <s v="2023-12-25"/>
    <m/>
    <x v="0"/>
    <n v="21"/>
    <x v="0"/>
    <n v="2"/>
  </r>
  <r>
    <x v="281"/>
    <x v="3"/>
    <s v="2025-03-17"/>
    <n v="1550349"/>
    <n v="42"/>
    <x v="0"/>
    <s v="2026-02-19"/>
    <m/>
    <x v="1"/>
    <n v="46"/>
    <x v="0"/>
    <n v="1"/>
  </r>
  <r>
    <x v="282"/>
    <x v="6"/>
    <s v="2026-03-26"/>
    <n v="750295"/>
    <n v="43"/>
    <x v="0"/>
    <s v="2026-09-22"/>
    <m/>
    <x v="2"/>
    <n v="56"/>
    <x v="0"/>
    <n v="0"/>
  </r>
  <r>
    <x v="283"/>
    <x v="4"/>
    <s v="2024-10-02"/>
    <n v="440607"/>
    <n v="35"/>
    <x v="1"/>
    <s v="2025-08-20"/>
    <m/>
    <x v="2"/>
    <n v="53"/>
    <x v="0"/>
    <n v="1"/>
  </r>
  <r>
    <x v="284"/>
    <x v="5"/>
    <s v="2021-04-17"/>
    <n v="494212"/>
    <n v="40"/>
    <x v="1"/>
    <s v="2022-04-26"/>
    <m/>
    <x v="0"/>
    <n v="38"/>
    <x v="0"/>
    <n v="5"/>
  </r>
  <r>
    <x v="285"/>
    <x v="0"/>
    <s v="2025-11-18"/>
    <n v="1377207"/>
    <n v="50"/>
    <x v="0"/>
    <s v="2026-05-17"/>
    <s v="2026-04-15"/>
    <x v="4"/>
    <n v="35"/>
    <x v="1"/>
    <n v="0"/>
  </r>
  <r>
    <x v="286"/>
    <x v="5"/>
    <s v="2024-06-09"/>
    <n v="905012"/>
    <n v="37"/>
    <x v="1"/>
    <s v="2024-12-06"/>
    <m/>
    <x v="1"/>
    <n v="26"/>
    <x v="0"/>
    <n v="1"/>
  </r>
  <r>
    <x v="287"/>
    <x v="3"/>
    <s v="2021-02-28"/>
    <n v="1499029"/>
    <n v="40"/>
    <x v="0"/>
    <s v="2024-05-09"/>
    <s v="2024-07-30"/>
    <x v="3"/>
    <n v="40"/>
    <x v="1"/>
    <n v="5"/>
  </r>
  <r>
    <x v="288"/>
    <x v="2"/>
    <s v="2026-04-21"/>
    <n v="1102202"/>
    <n v="31"/>
    <x v="1"/>
    <s v="2026-10-18"/>
    <m/>
    <x v="3"/>
    <n v="32"/>
    <x v="0"/>
    <n v="0"/>
  </r>
  <r>
    <x v="289"/>
    <x v="0"/>
    <s v="2020-05-04"/>
    <n v="1765683"/>
    <n v="23"/>
    <x v="1"/>
    <s v="2022-07-13"/>
    <m/>
    <x v="4"/>
    <n v="53"/>
    <x v="0"/>
    <n v="6"/>
  </r>
  <r>
    <x v="290"/>
    <x v="3"/>
    <s v="2020-09-22"/>
    <n v="314083"/>
    <n v="42"/>
    <x v="1"/>
    <s v="2022-11-10"/>
    <m/>
    <x v="3"/>
    <n v="6"/>
    <x v="0"/>
    <n v="5"/>
  </r>
  <r>
    <x v="291"/>
    <x v="6"/>
    <s v="2023-09-26"/>
    <n v="928217"/>
    <n v="38"/>
    <x v="1"/>
    <s v="2024-03-24"/>
    <m/>
    <x v="1"/>
    <n v="17"/>
    <x v="0"/>
    <n v="2"/>
  </r>
  <r>
    <x v="292"/>
    <x v="2"/>
    <s v="2023-03-11"/>
    <n v="948398"/>
    <n v="50"/>
    <x v="0"/>
    <s v="2023-11-22"/>
    <m/>
    <x v="0"/>
    <n v="2"/>
    <x v="0"/>
    <n v="3"/>
  </r>
  <r>
    <x v="293"/>
    <x v="4"/>
    <s v="2024-08-26"/>
    <n v="1370631"/>
    <n v="39"/>
    <x v="0"/>
    <s v="2025-06-20"/>
    <m/>
    <x v="2"/>
    <n v="14"/>
    <x v="0"/>
    <n v="1"/>
  </r>
  <r>
    <x v="294"/>
    <x v="2"/>
    <s v="2022-07-15"/>
    <n v="1173655"/>
    <n v="34"/>
    <x v="1"/>
    <s v="2023-12-27"/>
    <s v="2026-02-23"/>
    <x v="4"/>
    <n v="15"/>
    <x v="1"/>
    <n v="3"/>
  </r>
  <r>
    <x v="295"/>
    <x v="1"/>
    <s v="2023-05-02"/>
    <n v="1529880"/>
    <n v="28"/>
    <x v="0"/>
    <s v="2025-08-01"/>
    <s v="2025-03-14"/>
    <x v="4"/>
    <n v="50"/>
    <x v="1"/>
    <n v="3"/>
  </r>
  <r>
    <x v="296"/>
    <x v="1"/>
    <s v="2025-06-28"/>
    <n v="1793462"/>
    <n v="45"/>
    <x v="1"/>
    <s v="2025-12-25"/>
    <m/>
    <x v="4"/>
    <n v="26"/>
    <x v="0"/>
    <n v="0"/>
  </r>
  <r>
    <x v="297"/>
    <x v="5"/>
    <s v="2020-12-11"/>
    <n v="588202"/>
    <n v="33"/>
    <x v="0"/>
    <s v="2022-02-24"/>
    <m/>
    <x v="3"/>
    <n v="29"/>
    <x v="0"/>
    <n v="5"/>
  </r>
  <r>
    <x v="298"/>
    <x v="1"/>
    <s v="2024-07-15"/>
    <n v="808807"/>
    <n v="30"/>
    <x v="0"/>
    <s v="2025-05-01"/>
    <m/>
    <x v="4"/>
    <n v="4"/>
    <x v="0"/>
    <n v="1"/>
  </r>
  <r>
    <x v="299"/>
    <x v="2"/>
    <s v="2023-06-08"/>
    <n v="1536103"/>
    <n v="40"/>
    <x v="0"/>
    <s v="2025-05-27"/>
    <m/>
    <x v="2"/>
    <n v="14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3:H6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Employee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04" firstHeaderRow="1" firstDataRow="1" firstDataCol="1"/>
  <pivotFields count="12">
    <pivotField axis="axisRow"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rowItems>
  <colItems count="1">
    <i/>
  </colItems>
  <dataFields count="1">
    <dataField name="Total Employ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D12" firstHeaderRow="1" firstDataRow="2" firstDataCol="1"/>
  <pivotFields count="12">
    <pivotField dataField="1" showAll="0"/>
    <pivotField axis="axisRow" showAll="0">
      <items count="8">
        <item x="4"/>
        <item x="5"/>
        <item x="2"/>
        <item x="3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A3:B6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Employee Count" fld="0" subtotal="count" baseField="0" baseItem="0"/>
  </dataFields>
  <chartFormats count="6"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11" firstHeaderRow="1" firstDataRow="1" firstDataCol="1"/>
  <pivotFields count="12">
    <pivotField showAll="0"/>
    <pivotField axis="axisRow" showAll="0">
      <items count="8">
        <item x="4"/>
        <item x="5"/>
        <item x="2"/>
        <item x="3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g Training Hours" fld="9" subtotal="average" baseField="1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9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 Count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_employee_master" displayName="tbl_employee_master" ref="A1:L301" totalsRowShown="0" headerRowDxfId="4" headerRowBorderDxfId="3" tableBorderDxfId="2">
  <autoFilter ref="A1:L301"/>
  <tableColumns count="12">
    <tableColumn id="1" name="Employee ID"/>
    <tableColumn id="2" name="Department"/>
    <tableColumn id="3" name="Joining Date"/>
    <tableColumn id="4" name="Salary"/>
    <tableColumn id="5" name="Age"/>
    <tableColumn id="6" name="Gender"/>
    <tableColumn id="7" name="Last Promotion Date"/>
    <tableColumn id="8" name="Exit Date"/>
    <tableColumn id="9" name="Performance Rating"/>
    <tableColumn id="10" name="Training Hours Completed"/>
    <tableColumn id="11" name="Attrition Status" dataDxfId="1">
      <calculatedColumnFormula>IF(tbl_employee_master[[#This Row],[Exit Date]]="","Active","Exited")</calculatedColumnFormula>
    </tableColumn>
    <tableColumn id="12" name="Tenure(years)" dataDxfId="0">
      <calculatedColumnFormula>DATEDIF(tbl_employee_master[[#This Row],[Joining Date]],TODAY(),"Y")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04"/>
  <sheetViews>
    <sheetView workbookViewId="0">
      <selection activeCell="D1" sqref="D1"/>
    </sheetView>
  </sheetViews>
  <sheetFormatPr defaultRowHeight="15" x14ac:dyDescent="0.25"/>
  <cols>
    <col min="1" max="1" width="13.140625" bestFit="1" customWidth="1"/>
    <col min="2" max="2" width="20.42578125" bestFit="1" customWidth="1"/>
    <col min="7" max="7" width="13.140625" bestFit="1" customWidth="1"/>
    <col min="8" max="8" width="20.42578125" bestFit="1" customWidth="1"/>
  </cols>
  <sheetData>
    <row r="3" spans="1:8" x14ac:dyDescent="0.25">
      <c r="A3" s="2" t="s">
        <v>878</v>
      </c>
      <c r="B3" t="s">
        <v>884</v>
      </c>
      <c r="G3" s="2" t="s">
        <v>878</v>
      </c>
      <c r="H3" t="s">
        <v>883</v>
      </c>
    </row>
    <row r="4" spans="1:8" x14ac:dyDescent="0.25">
      <c r="A4" s="3" t="s">
        <v>10</v>
      </c>
      <c r="B4" s="4">
        <v>1</v>
      </c>
      <c r="G4" s="3" t="s">
        <v>881</v>
      </c>
      <c r="H4" s="4">
        <v>234</v>
      </c>
    </row>
    <row r="5" spans="1:8" x14ac:dyDescent="0.25">
      <c r="A5" s="3" t="s">
        <v>15</v>
      </c>
      <c r="B5" s="4">
        <v>1</v>
      </c>
      <c r="G5" s="3" t="s">
        <v>882</v>
      </c>
      <c r="H5" s="4">
        <v>66</v>
      </c>
    </row>
    <row r="6" spans="1:8" x14ac:dyDescent="0.25">
      <c r="A6" s="3" t="s">
        <v>20</v>
      </c>
      <c r="B6" s="4">
        <v>1</v>
      </c>
      <c r="G6" s="3" t="s">
        <v>879</v>
      </c>
      <c r="H6" s="4">
        <v>300</v>
      </c>
    </row>
    <row r="7" spans="1:8" x14ac:dyDescent="0.25">
      <c r="A7" s="3" t="s">
        <v>23</v>
      </c>
      <c r="B7" s="4">
        <v>1</v>
      </c>
    </row>
    <row r="8" spans="1:8" x14ac:dyDescent="0.25">
      <c r="A8" s="3" t="s">
        <v>27</v>
      </c>
      <c r="B8" s="4">
        <v>1</v>
      </c>
    </row>
    <row r="9" spans="1:8" x14ac:dyDescent="0.25">
      <c r="A9" s="3" t="s">
        <v>31</v>
      </c>
      <c r="B9" s="4">
        <v>1</v>
      </c>
    </row>
    <row r="10" spans="1:8" x14ac:dyDescent="0.25">
      <c r="A10" s="3" t="s">
        <v>35</v>
      </c>
      <c r="B10" s="4">
        <v>1</v>
      </c>
    </row>
    <row r="11" spans="1:8" x14ac:dyDescent="0.25">
      <c r="A11" s="3" t="s">
        <v>38</v>
      </c>
      <c r="B11" s="4">
        <v>1</v>
      </c>
    </row>
    <row r="12" spans="1:8" x14ac:dyDescent="0.25">
      <c r="A12" s="3" t="s">
        <v>42</v>
      </c>
      <c r="B12" s="4">
        <v>1</v>
      </c>
    </row>
    <row r="13" spans="1:8" x14ac:dyDescent="0.25">
      <c r="A13" s="3" t="s">
        <v>45</v>
      </c>
      <c r="B13" s="4">
        <v>1</v>
      </c>
    </row>
    <row r="14" spans="1:8" x14ac:dyDescent="0.25">
      <c r="A14" s="3" t="s">
        <v>49</v>
      </c>
      <c r="B14" s="4">
        <v>1</v>
      </c>
    </row>
    <row r="15" spans="1:8" x14ac:dyDescent="0.25">
      <c r="A15" s="3" t="s">
        <v>52</v>
      </c>
      <c r="B15" s="4">
        <v>1</v>
      </c>
    </row>
    <row r="16" spans="1:8" x14ac:dyDescent="0.25">
      <c r="A16" s="3" t="s">
        <v>55</v>
      </c>
      <c r="B16" s="4">
        <v>1</v>
      </c>
    </row>
    <row r="17" spans="1:2" x14ac:dyDescent="0.25">
      <c r="A17" s="3" t="s">
        <v>58</v>
      </c>
      <c r="B17" s="4">
        <v>1</v>
      </c>
    </row>
    <row r="18" spans="1:2" x14ac:dyDescent="0.25">
      <c r="A18" s="3" t="s">
        <v>62</v>
      </c>
      <c r="B18" s="4">
        <v>1</v>
      </c>
    </row>
    <row r="19" spans="1:2" x14ac:dyDescent="0.25">
      <c r="A19" s="3" t="s">
        <v>66</v>
      </c>
      <c r="B19" s="4">
        <v>1</v>
      </c>
    </row>
    <row r="20" spans="1:2" x14ac:dyDescent="0.25">
      <c r="A20" s="3" t="s">
        <v>69</v>
      </c>
      <c r="B20" s="4">
        <v>1</v>
      </c>
    </row>
    <row r="21" spans="1:2" x14ac:dyDescent="0.25">
      <c r="A21" s="3" t="s">
        <v>72</v>
      </c>
      <c r="B21" s="4">
        <v>1</v>
      </c>
    </row>
    <row r="22" spans="1:2" x14ac:dyDescent="0.25">
      <c r="A22" s="3" t="s">
        <v>75</v>
      </c>
      <c r="B22" s="4">
        <v>1</v>
      </c>
    </row>
    <row r="23" spans="1:2" x14ac:dyDescent="0.25">
      <c r="A23" s="3" t="s">
        <v>79</v>
      </c>
      <c r="B23" s="4">
        <v>1</v>
      </c>
    </row>
    <row r="24" spans="1:2" x14ac:dyDescent="0.25">
      <c r="A24" s="3" t="s">
        <v>82</v>
      </c>
      <c r="B24" s="4">
        <v>1</v>
      </c>
    </row>
    <row r="25" spans="1:2" x14ac:dyDescent="0.25">
      <c r="A25" s="3" t="s">
        <v>85</v>
      </c>
      <c r="B25" s="4">
        <v>1</v>
      </c>
    </row>
    <row r="26" spans="1:2" x14ac:dyDescent="0.25">
      <c r="A26" s="3" t="s">
        <v>88</v>
      </c>
      <c r="B26" s="4">
        <v>1</v>
      </c>
    </row>
    <row r="27" spans="1:2" x14ac:dyDescent="0.25">
      <c r="A27" s="3" t="s">
        <v>91</v>
      </c>
      <c r="B27" s="4">
        <v>1</v>
      </c>
    </row>
    <row r="28" spans="1:2" x14ac:dyDescent="0.25">
      <c r="A28" s="3" t="s">
        <v>94</v>
      </c>
      <c r="B28" s="4">
        <v>1</v>
      </c>
    </row>
    <row r="29" spans="1:2" x14ac:dyDescent="0.25">
      <c r="A29" s="3" t="s">
        <v>97</v>
      </c>
      <c r="B29" s="4">
        <v>1</v>
      </c>
    </row>
    <row r="30" spans="1:2" x14ac:dyDescent="0.25">
      <c r="A30" s="3" t="s">
        <v>100</v>
      </c>
      <c r="B30" s="4">
        <v>1</v>
      </c>
    </row>
    <row r="31" spans="1:2" x14ac:dyDescent="0.25">
      <c r="A31" s="3" t="s">
        <v>103</v>
      </c>
      <c r="B31" s="4">
        <v>1</v>
      </c>
    </row>
    <row r="32" spans="1:2" x14ac:dyDescent="0.25">
      <c r="A32" s="3" t="s">
        <v>106</v>
      </c>
      <c r="B32" s="4">
        <v>1</v>
      </c>
    </row>
    <row r="33" spans="1:2" x14ac:dyDescent="0.25">
      <c r="A33" s="3" t="s">
        <v>109</v>
      </c>
      <c r="B33" s="4">
        <v>1</v>
      </c>
    </row>
    <row r="34" spans="1:2" x14ac:dyDescent="0.25">
      <c r="A34" s="3" t="s">
        <v>112</v>
      </c>
      <c r="B34" s="4">
        <v>1</v>
      </c>
    </row>
    <row r="35" spans="1:2" x14ac:dyDescent="0.25">
      <c r="A35" s="3" t="s">
        <v>116</v>
      </c>
      <c r="B35" s="4">
        <v>1</v>
      </c>
    </row>
    <row r="36" spans="1:2" x14ac:dyDescent="0.25">
      <c r="A36" s="3" t="s">
        <v>119</v>
      </c>
      <c r="B36" s="4">
        <v>1</v>
      </c>
    </row>
    <row r="37" spans="1:2" x14ac:dyDescent="0.25">
      <c r="A37" s="3" t="s">
        <v>123</v>
      </c>
      <c r="B37" s="4">
        <v>1</v>
      </c>
    </row>
    <row r="38" spans="1:2" x14ac:dyDescent="0.25">
      <c r="A38" s="3" t="s">
        <v>126</v>
      </c>
      <c r="B38" s="4">
        <v>1</v>
      </c>
    </row>
    <row r="39" spans="1:2" x14ac:dyDescent="0.25">
      <c r="A39" s="3" t="s">
        <v>129</v>
      </c>
      <c r="B39" s="4">
        <v>1</v>
      </c>
    </row>
    <row r="40" spans="1:2" x14ac:dyDescent="0.25">
      <c r="A40" s="3" t="s">
        <v>132</v>
      </c>
      <c r="B40" s="4">
        <v>1</v>
      </c>
    </row>
    <row r="41" spans="1:2" x14ac:dyDescent="0.25">
      <c r="A41" s="3" t="s">
        <v>135</v>
      </c>
      <c r="B41" s="4">
        <v>1</v>
      </c>
    </row>
    <row r="42" spans="1:2" x14ac:dyDescent="0.25">
      <c r="A42" s="3" t="s">
        <v>138</v>
      </c>
      <c r="B42" s="4">
        <v>1</v>
      </c>
    </row>
    <row r="43" spans="1:2" x14ac:dyDescent="0.25">
      <c r="A43" s="3" t="s">
        <v>141</v>
      </c>
      <c r="B43" s="4">
        <v>1</v>
      </c>
    </row>
    <row r="44" spans="1:2" x14ac:dyDescent="0.25">
      <c r="A44" s="3" t="s">
        <v>144</v>
      </c>
      <c r="B44" s="4">
        <v>1</v>
      </c>
    </row>
    <row r="45" spans="1:2" x14ac:dyDescent="0.25">
      <c r="A45" s="3" t="s">
        <v>147</v>
      </c>
      <c r="B45" s="4">
        <v>1</v>
      </c>
    </row>
    <row r="46" spans="1:2" x14ac:dyDescent="0.25">
      <c r="A46" s="3" t="s">
        <v>149</v>
      </c>
      <c r="B46" s="4">
        <v>1</v>
      </c>
    </row>
    <row r="47" spans="1:2" x14ac:dyDescent="0.25">
      <c r="A47" s="3" t="s">
        <v>153</v>
      </c>
      <c r="B47" s="4">
        <v>1</v>
      </c>
    </row>
    <row r="48" spans="1:2" x14ac:dyDescent="0.25">
      <c r="A48" s="3" t="s">
        <v>157</v>
      </c>
      <c r="B48" s="4">
        <v>1</v>
      </c>
    </row>
    <row r="49" spans="1:2" x14ac:dyDescent="0.25">
      <c r="A49" s="3" t="s">
        <v>160</v>
      </c>
      <c r="B49" s="4">
        <v>1</v>
      </c>
    </row>
    <row r="50" spans="1:2" x14ac:dyDescent="0.25">
      <c r="A50" s="3" t="s">
        <v>163</v>
      </c>
      <c r="B50" s="4">
        <v>1</v>
      </c>
    </row>
    <row r="51" spans="1:2" x14ac:dyDescent="0.25">
      <c r="A51" s="3" t="s">
        <v>166</v>
      </c>
      <c r="B51" s="4">
        <v>1</v>
      </c>
    </row>
    <row r="52" spans="1:2" x14ac:dyDescent="0.25">
      <c r="A52" s="3" t="s">
        <v>169</v>
      </c>
      <c r="B52" s="4">
        <v>1</v>
      </c>
    </row>
    <row r="53" spans="1:2" x14ac:dyDescent="0.25">
      <c r="A53" s="3" t="s">
        <v>172</v>
      </c>
      <c r="B53" s="4">
        <v>1</v>
      </c>
    </row>
    <row r="54" spans="1:2" x14ac:dyDescent="0.25">
      <c r="A54" s="3" t="s">
        <v>175</v>
      </c>
      <c r="B54" s="4">
        <v>1</v>
      </c>
    </row>
    <row r="55" spans="1:2" x14ac:dyDescent="0.25">
      <c r="A55" s="3" t="s">
        <v>178</v>
      </c>
      <c r="B55" s="4">
        <v>1</v>
      </c>
    </row>
    <row r="56" spans="1:2" x14ac:dyDescent="0.25">
      <c r="A56" s="3" t="s">
        <v>181</v>
      </c>
      <c r="B56" s="4">
        <v>1</v>
      </c>
    </row>
    <row r="57" spans="1:2" x14ac:dyDescent="0.25">
      <c r="A57" s="3" t="s">
        <v>184</v>
      </c>
      <c r="B57" s="4">
        <v>1</v>
      </c>
    </row>
    <row r="58" spans="1:2" x14ac:dyDescent="0.25">
      <c r="A58" s="3" t="s">
        <v>187</v>
      </c>
      <c r="B58" s="4">
        <v>1</v>
      </c>
    </row>
    <row r="59" spans="1:2" x14ac:dyDescent="0.25">
      <c r="A59" s="3" t="s">
        <v>190</v>
      </c>
      <c r="B59" s="4">
        <v>1</v>
      </c>
    </row>
    <row r="60" spans="1:2" x14ac:dyDescent="0.25">
      <c r="A60" s="3" t="s">
        <v>193</v>
      </c>
      <c r="B60" s="4">
        <v>1</v>
      </c>
    </row>
    <row r="61" spans="1:2" x14ac:dyDescent="0.25">
      <c r="A61" s="3" t="s">
        <v>196</v>
      </c>
      <c r="B61" s="4">
        <v>1</v>
      </c>
    </row>
    <row r="62" spans="1:2" x14ac:dyDescent="0.25">
      <c r="A62" s="3" t="s">
        <v>198</v>
      </c>
      <c r="B62" s="4">
        <v>1</v>
      </c>
    </row>
    <row r="63" spans="1:2" x14ac:dyDescent="0.25">
      <c r="A63" s="3" t="s">
        <v>201</v>
      </c>
      <c r="B63" s="4">
        <v>1</v>
      </c>
    </row>
    <row r="64" spans="1:2" x14ac:dyDescent="0.25">
      <c r="A64" s="3" t="s">
        <v>204</v>
      </c>
      <c r="B64" s="4">
        <v>1</v>
      </c>
    </row>
    <row r="65" spans="1:2" x14ac:dyDescent="0.25">
      <c r="A65" s="3" t="s">
        <v>207</v>
      </c>
      <c r="B65" s="4">
        <v>1</v>
      </c>
    </row>
    <row r="66" spans="1:2" x14ac:dyDescent="0.25">
      <c r="A66" s="3" t="s">
        <v>210</v>
      </c>
      <c r="B66" s="4">
        <v>1</v>
      </c>
    </row>
    <row r="67" spans="1:2" x14ac:dyDescent="0.25">
      <c r="A67" s="3" t="s">
        <v>213</v>
      </c>
      <c r="B67" s="4">
        <v>1</v>
      </c>
    </row>
    <row r="68" spans="1:2" x14ac:dyDescent="0.25">
      <c r="A68" s="3" t="s">
        <v>216</v>
      </c>
      <c r="B68" s="4">
        <v>1</v>
      </c>
    </row>
    <row r="69" spans="1:2" x14ac:dyDescent="0.25">
      <c r="A69" s="3" t="s">
        <v>219</v>
      </c>
      <c r="B69" s="4">
        <v>1</v>
      </c>
    </row>
    <row r="70" spans="1:2" x14ac:dyDescent="0.25">
      <c r="A70" s="3" t="s">
        <v>222</v>
      </c>
      <c r="B70" s="4">
        <v>1</v>
      </c>
    </row>
    <row r="71" spans="1:2" x14ac:dyDescent="0.25">
      <c r="A71" s="3" t="s">
        <v>226</v>
      </c>
      <c r="B71" s="4">
        <v>1</v>
      </c>
    </row>
    <row r="72" spans="1:2" x14ac:dyDescent="0.25">
      <c r="A72" s="3" t="s">
        <v>229</v>
      </c>
      <c r="B72" s="4">
        <v>1</v>
      </c>
    </row>
    <row r="73" spans="1:2" x14ac:dyDescent="0.25">
      <c r="A73" s="3" t="s">
        <v>232</v>
      </c>
      <c r="B73" s="4">
        <v>1</v>
      </c>
    </row>
    <row r="74" spans="1:2" x14ac:dyDescent="0.25">
      <c r="A74" s="3" t="s">
        <v>236</v>
      </c>
      <c r="B74" s="4">
        <v>1</v>
      </c>
    </row>
    <row r="75" spans="1:2" x14ac:dyDescent="0.25">
      <c r="A75" s="3" t="s">
        <v>239</v>
      </c>
      <c r="B75" s="4">
        <v>1</v>
      </c>
    </row>
    <row r="76" spans="1:2" x14ac:dyDescent="0.25">
      <c r="A76" s="3" t="s">
        <v>242</v>
      </c>
      <c r="B76" s="4">
        <v>1</v>
      </c>
    </row>
    <row r="77" spans="1:2" x14ac:dyDescent="0.25">
      <c r="A77" s="3" t="s">
        <v>245</v>
      </c>
      <c r="B77" s="4">
        <v>1</v>
      </c>
    </row>
    <row r="78" spans="1:2" x14ac:dyDescent="0.25">
      <c r="A78" s="3" t="s">
        <v>248</v>
      </c>
      <c r="B78" s="4">
        <v>1</v>
      </c>
    </row>
    <row r="79" spans="1:2" x14ac:dyDescent="0.25">
      <c r="A79" s="3" t="s">
        <v>251</v>
      </c>
      <c r="B79" s="4">
        <v>1</v>
      </c>
    </row>
    <row r="80" spans="1:2" x14ac:dyDescent="0.25">
      <c r="A80" s="3" t="s">
        <v>254</v>
      </c>
      <c r="B80" s="4">
        <v>1</v>
      </c>
    </row>
    <row r="81" spans="1:2" x14ac:dyDescent="0.25">
      <c r="A81" s="3" t="s">
        <v>257</v>
      </c>
      <c r="B81" s="4">
        <v>1</v>
      </c>
    </row>
    <row r="82" spans="1:2" x14ac:dyDescent="0.25">
      <c r="A82" s="3" t="s">
        <v>260</v>
      </c>
      <c r="B82" s="4">
        <v>1</v>
      </c>
    </row>
    <row r="83" spans="1:2" x14ac:dyDescent="0.25">
      <c r="A83" s="3" t="s">
        <v>263</v>
      </c>
      <c r="B83" s="4">
        <v>1</v>
      </c>
    </row>
    <row r="84" spans="1:2" x14ac:dyDescent="0.25">
      <c r="A84" s="3" t="s">
        <v>266</v>
      </c>
      <c r="B84" s="4">
        <v>1</v>
      </c>
    </row>
    <row r="85" spans="1:2" x14ac:dyDescent="0.25">
      <c r="A85" s="3" t="s">
        <v>269</v>
      </c>
      <c r="B85" s="4">
        <v>1</v>
      </c>
    </row>
    <row r="86" spans="1:2" x14ac:dyDescent="0.25">
      <c r="A86" s="3" t="s">
        <v>273</v>
      </c>
      <c r="B86" s="4">
        <v>1</v>
      </c>
    </row>
    <row r="87" spans="1:2" x14ac:dyDescent="0.25">
      <c r="A87" s="3" t="s">
        <v>276</v>
      </c>
      <c r="B87" s="4">
        <v>1</v>
      </c>
    </row>
    <row r="88" spans="1:2" x14ac:dyDescent="0.25">
      <c r="A88" s="3" t="s">
        <v>279</v>
      </c>
      <c r="B88" s="4">
        <v>1</v>
      </c>
    </row>
    <row r="89" spans="1:2" x14ac:dyDescent="0.25">
      <c r="A89" s="3" t="s">
        <v>281</v>
      </c>
      <c r="B89" s="4">
        <v>1</v>
      </c>
    </row>
    <row r="90" spans="1:2" x14ac:dyDescent="0.25">
      <c r="A90" s="3" t="s">
        <v>284</v>
      </c>
      <c r="B90" s="4">
        <v>1</v>
      </c>
    </row>
    <row r="91" spans="1:2" x14ac:dyDescent="0.25">
      <c r="A91" s="3" t="s">
        <v>287</v>
      </c>
      <c r="B91" s="4">
        <v>1</v>
      </c>
    </row>
    <row r="92" spans="1:2" x14ac:dyDescent="0.25">
      <c r="A92" s="3" t="s">
        <v>290</v>
      </c>
      <c r="B92" s="4">
        <v>1</v>
      </c>
    </row>
    <row r="93" spans="1:2" x14ac:dyDescent="0.25">
      <c r="A93" s="3" t="s">
        <v>293</v>
      </c>
      <c r="B93" s="4">
        <v>1</v>
      </c>
    </row>
    <row r="94" spans="1:2" x14ac:dyDescent="0.25">
      <c r="A94" s="3" t="s">
        <v>296</v>
      </c>
      <c r="B94" s="4">
        <v>1</v>
      </c>
    </row>
    <row r="95" spans="1:2" x14ac:dyDescent="0.25">
      <c r="A95" s="3" t="s">
        <v>300</v>
      </c>
      <c r="B95" s="4">
        <v>1</v>
      </c>
    </row>
    <row r="96" spans="1:2" x14ac:dyDescent="0.25">
      <c r="A96" s="3" t="s">
        <v>303</v>
      </c>
      <c r="B96" s="4">
        <v>1</v>
      </c>
    </row>
    <row r="97" spans="1:2" x14ac:dyDescent="0.25">
      <c r="A97" s="3" t="s">
        <v>307</v>
      </c>
      <c r="B97" s="4">
        <v>1</v>
      </c>
    </row>
    <row r="98" spans="1:2" x14ac:dyDescent="0.25">
      <c r="A98" s="3" t="s">
        <v>308</v>
      </c>
      <c r="B98" s="4">
        <v>1</v>
      </c>
    </row>
    <row r="99" spans="1:2" x14ac:dyDescent="0.25">
      <c r="A99" s="3" t="s">
        <v>312</v>
      </c>
      <c r="B99" s="4">
        <v>1</v>
      </c>
    </row>
    <row r="100" spans="1:2" x14ac:dyDescent="0.25">
      <c r="A100" s="3" t="s">
        <v>314</v>
      </c>
      <c r="B100" s="4">
        <v>1</v>
      </c>
    </row>
    <row r="101" spans="1:2" x14ac:dyDescent="0.25">
      <c r="A101" s="3" t="s">
        <v>316</v>
      </c>
      <c r="B101" s="4">
        <v>1</v>
      </c>
    </row>
    <row r="102" spans="1:2" x14ac:dyDescent="0.25">
      <c r="A102" s="3" t="s">
        <v>318</v>
      </c>
      <c r="B102" s="4">
        <v>1</v>
      </c>
    </row>
    <row r="103" spans="1:2" x14ac:dyDescent="0.25">
      <c r="A103" s="3" t="s">
        <v>321</v>
      </c>
      <c r="B103" s="4">
        <v>1</v>
      </c>
    </row>
    <row r="104" spans="1:2" x14ac:dyDescent="0.25">
      <c r="A104" s="3" t="s">
        <v>324</v>
      </c>
      <c r="B104" s="4">
        <v>1</v>
      </c>
    </row>
    <row r="105" spans="1:2" x14ac:dyDescent="0.25">
      <c r="A105" s="3" t="s">
        <v>326</v>
      </c>
      <c r="B105" s="4">
        <v>1</v>
      </c>
    </row>
    <row r="106" spans="1:2" x14ac:dyDescent="0.25">
      <c r="A106" s="3" t="s">
        <v>329</v>
      </c>
      <c r="B106" s="4">
        <v>1</v>
      </c>
    </row>
    <row r="107" spans="1:2" x14ac:dyDescent="0.25">
      <c r="A107" s="3" t="s">
        <v>332</v>
      </c>
      <c r="B107" s="4">
        <v>1</v>
      </c>
    </row>
    <row r="108" spans="1:2" x14ac:dyDescent="0.25">
      <c r="A108" s="3" t="s">
        <v>335</v>
      </c>
      <c r="B108" s="4">
        <v>1</v>
      </c>
    </row>
    <row r="109" spans="1:2" x14ac:dyDescent="0.25">
      <c r="A109" s="3" t="s">
        <v>338</v>
      </c>
      <c r="B109" s="4">
        <v>1</v>
      </c>
    </row>
    <row r="110" spans="1:2" x14ac:dyDescent="0.25">
      <c r="A110" s="3" t="s">
        <v>341</v>
      </c>
      <c r="B110" s="4">
        <v>1</v>
      </c>
    </row>
    <row r="111" spans="1:2" x14ac:dyDescent="0.25">
      <c r="A111" s="3" t="s">
        <v>344</v>
      </c>
      <c r="B111" s="4">
        <v>1</v>
      </c>
    </row>
    <row r="112" spans="1:2" x14ac:dyDescent="0.25">
      <c r="A112" s="3" t="s">
        <v>347</v>
      </c>
      <c r="B112" s="4">
        <v>1</v>
      </c>
    </row>
    <row r="113" spans="1:2" x14ac:dyDescent="0.25">
      <c r="A113" s="3" t="s">
        <v>350</v>
      </c>
      <c r="B113" s="4">
        <v>1</v>
      </c>
    </row>
    <row r="114" spans="1:2" x14ac:dyDescent="0.25">
      <c r="A114" s="3" t="s">
        <v>353</v>
      </c>
      <c r="B114" s="4">
        <v>1</v>
      </c>
    </row>
    <row r="115" spans="1:2" x14ac:dyDescent="0.25">
      <c r="A115" s="3" t="s">
        <v>356</v>
      </c>
      <c r="B115" s="4">
        <v>1</v>
      </c>
    </row>
    <row r="116" spans="1:2" x14ac:dyDescent="0.25">
      <c r="A116" s="3" t="s">
        <v>359</v>
      </c>
      <c r="B116" s="4">
        <v>1</v>
      </c>
    </row>
    <row r="117" spans="1:2" x14ac:dyDescent="0.25">
      <c r="A117" s="3" t="s">
        <v>362</v>
      </c>
      <c r="B117" s="4">
        <v>1</v>
      </c>
    </row>
    <row r="118" spans="1:2" x14ac:dyDescent="0.25">
      <c r="A118" s="3" t="s">
        <v>365</v>
      </c>
      <c r="B118" s="4">
        <v>1</v>
      </c>
    </row>
    <row r="119" spans="1:2" x14ac:dyDescent="0.25">
      <c r="A119" s="3" t="s">
        <v>368</v>
      </c>
      <c r="B119" s="4">
        <v>1</v>
      </c>
    </row>
    <row r="120" spans="1:2" x14ac:dyDescent="0.25">
      <c r="A120" s="3" t="s">
        <v>371</v>
      </c>
      <c r="B120" s="4">
        <v>1</v>
      </c>
    </row>
    <row r="121" spans="1:2" x14ac:dyDescent="0.25">
      <c r="A121" s="3" t="s">
        <v>374</v>
      </c>
      <c r="B121" s="4">
        <v>1</v>
      </c>
    </row>
    <row r="122" spans="1:2" x14ac:dyDescent="0.25">
      <c r="A122" s="3" t="s">
        <v>377</v>
      </c>
      <c r="B122" s="4">
        <v>1</v>
      </c>
    </row>
    <row r="123" spans="1:2" x14ac:dyDescent="0.25">
      <c r="A123" s="3" t="s">
        <v>380</v>
      </c>
      <c r="B123" s="4">
        <v>1</v>
      </c>
    </row>
    <row r="124" spans="1:2" x14ac:dyDescent="0.25">
      <c r="A124" s="3" t="s">
        <v>382</v>
      </c>
      <c r="B124" s="4">
        <v>1</v>
      </c>
    </row>
    <row r="125" spans="1:2" x14ac:dyDescent="0.25">
      <c r="A125" s="3" t="s">
        <v>385</v>
      </c>
      <c r="B125" s="4">
        <v>1</v>
      </c>
    </row>
    <row r="126" spans="1:2" x14ac:dyDescent="0.25">
      <c r="A126" s="3" t="s">
        <v>388</v>
      </c>
      <c r="B126" s="4">
        <v>1</v>
      </c>
    </row>
    <row r="127" spans="1:2" x14ac:dyDescent="0.25">
      <c r="A127" s="3" t="s">
        <v>391</v>
      </c>
      <c r="B127" s="4">
        <v>1</v>
      </c>
    </row>
    <row r="128" spans="1:2" x14ac:dyDescent="0.25">
      <c r="A128" s="3" t="s">
        <v>394</v>
      </c>
      <c r="B128" s="4">
        <v>1</v>
      </c>
    </row>
    <row r="129" spans="1:2" x14ac:dyDescent="0.25">
      <c r="A129" s="3" t="s">
        <v>397</v>
      </c>
      <c r="B129" s="4">
        <v>1</v>
      </c>
    </row>
    <row r="130" spans="1:2" x14ac:dyDescent="0.25">
      <c r="A130" s="3" t="s">
        <v>400</v>
      </c>
      <c r="B130" s="4">
        <v>1</v>
      </c>
    </row>
    <row r="131" spans="1:2" x14ac:dyDescent="0.25">
      <c r="A131" s="3" t="s">
        <v>403</v>
      </c>
      <c r="B131" s="4">
        <v>1</v>
      </c>
    </row>
    <row r="132" spans="1:2" x14ac:dyDescent="0.25">
      <c r="A132" s="3" t="s">
        <v>407</v>
      </c>
      <c r="B132" s="4">
        <v>1</v>
      </c>
    </row>
    <row r="133" spans="1:2" x14ac:dyDescent="0.25">
      <c r="A133" s="3" t="s">
        <v>411</v>
      </c>
      <c r="B133" s="4">
        <v>1</v>
      </c>
    </row>
    <row r="134" spans="1:2" x14ac:dyDescent="0.25">
      <c r="A134" s="3" t="s">
        <v>414</v>
      </c>
      <c r="B134" s="4">
        <v>1</v>
      </c>
    </row>
    <row r="135" spans="1:2" x14ac:dyDescent="0.25">
      <c r="A135" s="3" t="s">
        <v>417</v>
      </c>
      <c r="B135" s="4">
        <v>1</v>
      </c>
    </row>
    <row r="136" spans="1:2" x14ac:dyDescent="0.25">
      <c r="A136" s="3" t="s">
        <v>420</v>
      </c>
      <c r="B136" s="4">
        <v>1</v>
      </c>
    </row>
    <row r="137" spans="1:2" x14ac:dyDescent="0.25">
      <c r="A137" s="3" t="s">
        <v>422</v>
      </c>
      <c r="B137" s="4">
        <v>1</v>
      </c>
    </row>
    <row r="138" spans="1:2" x14ac:dyDescent="0.25">
      <c r="A138" s="3" t="s">
        <v>425</v>
      </c>
      <c r="B138" s="4">
        <v>1</v>
      </c>
    </row>
    <row r="139" spans="1:2" x14ac:dyDescent="0.25">
      <c r="A139" s="3" t="s">
        <v>428</v>
      </c>
      <c r="B139" s="4">
        <v>1</v>
      </c>
    </row>
    <row r="140" spans="1:2" x14ac:dyDescent="0.25">
      <c r="A140" s="3" t="s">
        <v>431</v>
      </c>
      <c r="B140" s="4">
        <v>1</v>
      </c>
    </row>
    <row r="141" spans="1:2" x14ac:dyDescent="0.25">
      <c r="A141" s="3" t="s">
        <v>432</v>
      </c>
      <c r="B141" s="4">
        <v>1</v>
      </c>
    </row>
    <row r="142" spans="1:2" x14ac:dyDescent="0.25">
      <c r="A142" s="3" t="s">
        <v>436</v>
      </c>
      <c r="B142" s="4">
        <v>1</v>
      </c>
    </row>
    <row r="143" spans="1:2" x14ac:dyDescent="0.25">
      <c r="A143" s="3" t="s">
        <v>440</v>
      </c>
      <c r="B143" s="4">
        <v>1</v>
      </c>
    </row>
    <row r="144" spans="1:2" x14ac:dyDescent="0.25">
      <c r="A144" s="3" t="s">
        <v>443</v>
      </c>
      <c r="B144" s="4">
        <v>1</v>
      </c>
    </row>
    <row r="145" spans="1:2" x14ac:dyDescent="0.25">
      <c r="A145" s="3" t="s">
        <v>446</v>
      </c>
      <c r="B145" s="4">
        <v>1</v>
      </c>
    </row>
    <row r="146" spans="1:2" x14ac:dyDescent="0.25">
      <c r="A146" s="3" t="s">
        <v>449</v>
      </c>
      <c r="B146" s="4">
        <v>1</v>
      </c>
    </row>
    <row r="147" spans="1:2" x14ac:dyDescent="0.25">
      <c r="A147" s="3" t="s">
        <v>451</v>
      </c>
      <c r="B147" s="4">
        <v>1</v>
      </c>
    </row>
    <row r="148" spans="1:2" x14ac:dyDescent="0.25">
      <c r="A148" s="3" t="s">
        <v>454</v>
      </c>
      <c r="B148" s="4">
        <v>1</v>
      </c>
    </row>
    <row r="149" spans="1:2" x14ac:dyDescent="0.25">
      <c r="A149" s="3" t="s">
        <v>457</v>
      </c>
      <c r="B149" s="4">
        <v>1</v>
      </c>
    </row>
    <row r="150" spans="1:2" x14ac:dyDescent="0.25">
      <c r="A150" s="3" t="s">
        <v>461</v>
      </c>
      <c r="B150" s="4">
        <v>1</v>
      </c>
    </row>
    <row r="151" spans="1:2" x14ac:dyDescent="0.25">
      <c r="A151" s="3" t="s">
        <v>464</v>
      </c>
      <c r="B151" s="4">
        <v>1</v>
      </c>
    </row>
    <row r="152" spans="1:2" x14ac:dyDescent="0.25">
      <c r="A152" s="3" t="s">
        <v>467</v>
      </c>
      <c r="B152" s="4">
        <v>1</v>
      </c>
    </row>
    <row r="153" spans="1:2" x14ac:dyDescent="0.25">
      <c r="A153" s="3" t="s">
        <v>469</v>
      </c>
      <c r="B153" s="4">
        <v>1</v>
      </c>
    </row>
    <row r="154" spans="1:2" x14ac:dyDescent="0.25">
      <c r="A154" s="3" t="s">
        <v>472</v>
      </c>
      <c r="B154" s="4">
        <v>1</v>
      </c>
    </row>
    <row r="155" spans="1:2" x14ac:dyDescent="0.25">
      <c r="A155" s="3" t="s">
        <v>475</v>
      </c>
      <c r="B155" s="4">
        <v>1</v>
      </c>
    </row>
    <row r="156" spans="1:2" x14ac:dyDescent="0.25">
      <c r="A156" s="3" t="s">
        <v>478</v>
      </c>
      <c r="B156" s="4">
        <v>1</v>
      </c>
    </row>
    <row r="157" spans="1:2" x14ac:dyDescent="0.25">
      <c r="A157" s="3" t="s">
        <v>481</v>
      </c>
      <c r="B157" s="4">
        <v>1</v>
      </c>
    </row>
    <row r="158" spans="1:2" x14ac:dyDescent="0.25">
      <c r="A158" s="3" t="s">
        <v>484</v>
      </c>
      <c r="B158" s="4">
        <v>1</v>
      </c>
    </row>
    <row r="159" spans="1:2" x14ac:dyDescent="0.25">
      <c r="A159" s="3" t="s">
        <v>487</v>
      </c>
      <c r="B159" s="4">
        <v>1</v>
      </c>
    </row>
    <row r="160" spans="1:2" x14ac:dyDescent="0.25">
      <c r="A160" s="3" t="s">
        <v>489</v>
      </c>
      <c r="B160" s="4">
        <v>1</v>
      </c>
    </row>
    <row r="161" spans="1:2" x14ac:dyDescent="0.25">
      <c r="A161" s="3" t="s">
        <v>492</v>
      </c>
      <c r="B161" s="4">
        <v>1</v>
      </c>
    </row>
    <row r="162" spans="1:2" x14ac:dyDescent="0.25">
      <c r="A162" s="3" t="s">
        <v>494</v>
      </c>
      <c r="B162" s="4">
        <v>1</v>
      </c>
    </row>
    <row r="163" spans="1:2" x14ac:dyDescent="0.25">
      <c r="A163" s="3" t="s">
        <v>497</v>
      </c>
      <c r="B163" s="4">
        <v>1</v>
      </c>
    </row>
    <row r="164" spans="1:2" x14ac:dyDescent="0.25">
      <c r="A164" s="3" t="s">
        <v>500</v>
      </c>
      <c r="B164" s="4">
        <v>1</v>
      </c>
    </row>
    <row r="165" spans="1:2" x14ac:dyDescent="0.25">
      <c r="A165" s="3" t="s">
        <v>502</v>
      </c>
      <c r="B165" s="4">
        <v>1</v>
      </c>
    </row>
    <row r="166" spans="1:2" x14ac:dyDescent="0.25">
      <c r="A166" s="3" t="s">
        <v>505</v>
      </c>
      <c r="B166" s="4">
        <v>1</v>
      </c>
    </row>
    <row r="167" spans="1:2" x14ac:dyDescent="0.25">
      <c r="A167" s="3" t="s">
        <v>508</v>
      </c>
      <c r="B167" s="4">
        <v>1</v>
      </c>
    </row>
    <row r="168" spans="1:2" x14ac:dyDescent="0.25">
      <c r="A168" s="3" t="s">
        <v>511</v>
      </c>
      <c r="B168" s="4">
        <v>1</v>
      </c>
    </row>
    <row r="169" spans="1:2" x14ac:dyDescent="0.25">
      <c r="A169" s="3" t="s">
        <v>514</v>
      </c>
      <c r="B169" s="4">
        <v>1</v>
      </c>
    </row>
    <row r="170" spans="1:2" x14ac:dyDescent="0.25">
      <c r="A170" s="3" t="s">
        <v>517</v>
      </c>
      <c r="B170" s="4">
        <v>1</v>
      </c>
    </row>
    <row r="171" spans="1:2" x14ac:dyDescent="0.25">
      <c r="A171" s="3" t="s">
        <v>520</v>
      </c>
      <c r="B171" s="4">
        <v>1</v>
      </c>
    </row>
    <row r="172" spans="1:2" x14ac:dyDescent="0.25">
      <c r="A172" s="3" t="s">
        <v>522</v>
      </c>
      <c r="B172" s="4">
        <v>1</v>
      </c>
    </row>
    <row r="173" spans="1:2" x14ac:dyDescent="0.25">
      <c r="A173" s="3" t="s">
        <v>524</v>
      </c>
      <c r="B173" s="4">
        <v>1</v>
      </c>
    </row>
    <row r="174" spans="1:2" x14ac:dyDescent="0.25">
      <c r="A174" s="3" t="s">
        <v>527</v>
      </c>
      <c r="B174" s="4">
        <v>1</v>
      </c>
    </row>
    <row r="175" spans="1:2" x14ac:dyDescent="0.25">
      <c r="A175" s="3" t="s">
        <v>530</v>
      </c>
      <c r="B175" s="4">
        <v>1</v>
      </c>
    </row>
    <row r="176" spans="1:2" x14ac:dyDescent="0.25">
      <c r="A176" s="3" t="s">
        <v>532</v>
      </c>
      <c r="B176" s="4">
        <v>1</v>
      </c>
    </row>
    <row r="177" spans="1:2" x14ac:dyDescent="0.25">
      <c r="A177" s="3" t="s">
        <v>535</v>
      </c>
      <c r="B177" s="4">
        <v>1</v>
      </c>
    </row>
    <row r="178" spans="1:2" x14ac:dyDescent="0.25">
      <c r="A178" s="3" t="s">
        <v>538</v>
      </c>
      <c r="B178" s="4">
        <v>1</v>
      </c>
    </row>
    <row r="179" spans="1:2" x14ac:dyDescent="0.25">
      <c r="A179" s="3" t="s">
        <v>542</v>
      </c>
      <c r="B179" s="4">
        <v>1</v>
      </c>
    </row>
    <row r="180" spans="1:2" x14ac:dyDescent="0.25">
      <c r="A180" s="3" t="s">
        <v>544</v>
      </c>
      <c r="B180" s="4">
        <v>1</v>
      </c>
    </row>
    <row r="181" spans="1:2" x14ac:dyDescent="0.25">
      <c r="A181" s="3" t="s">
        <v>547</v>
      </c>
      <c r="B181" s="4">
        <v>1</v>
      </c>
    </row>
    <row r="182" spans="1:2" x14ac:dyDescent="0.25">
      <c r="A182" s="3" t="s">
        <v>550</v>
      </c>
      <c r="B182" s="4">
        <v>1</v>
      </c>
    </row>
    <row r="183" spans="1:2" x14ac:dyDescent="0.25">
      <c r="A183" s="3" t="s">
        <v>553</v>
      </c>
      <c r="B183" s="4">
        <v>1</v>
      </c>
    </row>
    <row r="184" spans="1:2" x14ac:dyDescent="0.25">
      <c r="A184" s="3" t="s">
        <v>556</v>
      </c>
      <c r="B184" s="4">
        <v>1</v>
      </c>
    </row>
    <row r="185" spans="1:2" x14ac:dyDescent="0.25">
      <c r="A185" s="3" t="s">
        <v>559</v>
      </c>
      <c r="B185" s="4">
        <v>1</v>
      </c>
    </row>
    <row r="186" spans="1:2" x14ac:dyDescent="0.25">
      <c r="A186" s="3" t="s">
        <v>560</v>
      </c>
      <c r="B186" s="4">
        <v>1</v>
      </c>
    </row>
    <row r="187" spans="1:2" x14ac:dyDescent="0.25">
      <c r="A187" s="3" t="s">
        <v>561</v>
      </c>
      <c r="B187" s="4">
        <v>1</v>
      </c>
    </row>
    <row r="188" spans="1:2" x14ac:dyDescent="0.25">
      <c r="A188" s="3" t="s">
        <v>563</v>
      </c>
      <c r="B188" s="4">
        <v>1</v>
      </c>
    </row>
    <row r="189" spans="1:2" x14ac:dyDescent="0.25">
      <c r="A189" s="3" t="s">
        <v>565</v>
      </c>
      <c r="B189" s="4">
        <v>1</v>
      </c>
    </row>
    <row r="190" spans="1:2" x14ac:dyDescent="0.25">
      <c r="A190" s="3" t="s">
        <v>567</v>
      </c>
      <c r="B190" s="4">
        <v>1</v>
      </c>
    </row>
    <row r="191" spans="1:2" x14ac:dyDescent="0.25">
      <c r="A191" s="3" t="s">
        <v>570</v>
      </c>
      <c r="B191" s="4">
        <v>1</v>
      </c>
    </row>
    <row r="192" spans="1:2" x14ac:dyDescent="0.25">
      <c r="A192" s="3" t="s">
        <v>573</v>
      </c>
      <c r="B192" s="4">
        <v>1</v>
      </c>
    </row>
    <row r="193" spans="1:2" x14ac:dyDescent="0.25">
      <c r="A193" s="3" t="s">
        <v>576</v>
      </c>
      <c r="B193" s="4">
        <v>1</v>
      </c>
    </row>
    <row r="194" spans="1:2" x14ac:dyDescent="0.25">
      <c r="A194" s="3" t="s">
        <v>578</v>
      </c>
      <c r="B194" s="4">
        <v>1</v>
      </c>
    </row>
    <row r="195" spans="1:2" x14ac:dyDescent="0.25">
      <c r="A195" s="3" t="s">
        <v>581</v>
      </c>
      <c r="B195" s="4">
        <v>1</v>
      </c>
    </row>
    <row r="196" spans="1:2" x14ac:dyDescent="0.25">
      <c r="A196" s="3" t="s">
        <v>584</v>
      </c>
      <c r="B196" s="4">
        <v>1</v>
      </c>
    </row>
    <row r="197" spans="1:2" x14ac:dyDescent="0.25">
      <c r="A197" s="3" t="s">
        <v>587</v>
      </c>
      <c r="B197" s="4">
        <v>1</v>
      </c>
    </row>
    <row r="198" spans="1:2" x14ac:dyDescent="0.25">
      <c r="A198" s="3" t="s">
        <v>591</v>
      </c>
      <c r="B198" s="4">
        <v>1</v>
      </c>
    </row>
    <row r="199" spans="1:2" x14ac:dyDescent="0.25">
      <c r="A199" s="3" t="s">
        <v>593</v>
      </c>
      <c r="B199" s="4">
        <v>1</v>
      </c>
    </row>
    <row r="200" spans="1:2" x14ac:dyDescent="0.25">
      <c r="A200" s="3" t="s">
        <v>596</v>
      </c>
      <c r="B200" s="4">
        <v>1</v>
      </c>
    </row>
    <row r="201" spans="1:2" x14ac:dyDescent="0.25">
      <c r="A201" s="3" t="s">
        <v>599</v>
      </c>
      <c r="B201" s="4">
        <v>1</v>
      </c>
    </row>
    <row r="202" spans="1:2" x14ac:dyDescent="0.25">
      <c r="A202" s="3" t="s">
        <v>602</v>
      </c>
      <c r="B202" s="4">
        <v>1</v>
      </c>
    </row>
    <row r="203" spans="1:2" x14ac:dyDescent="0.25">
      <c r="A203" s="3" t="s">
        <v>605</v>
      </c>
      <c r="B203" s="4">
        <v>1</v>
      </c>
    </row>
    <row r="204" spans="1:2" x14ac:dyDescent="0.25">
      <c r="A204" s="3" t="s">
        <v>608</v>
      </c>
      <c r="B204" s="4">
        <v>1</v>
      </c>
    </row>
    <row r="205" spans="1:2" x14ac:dyDescent="0.25">
      <c r="A205" s="3" t="s">
        <v>611</v>
      </c>
      <c r="B205" s="4">
        <v>1</v>
      </c>
    </row>
    <row r="206" spans="1:2" x14ac:dyDescent="0.25">
      <c r="A206" s="3" t="s">
        <v>614</v>
      </c>
      <c r="B206" s="4">
        <v>1</v>
      </c>
    </row>
    <row r="207" spans="1:2" x14ac:dyDescent="0.25">
      <c r="A207" s="3" t="s">
        <v>616</v>
      </c>
      <c r="B207" s="4">
        <v>1</v>
      </c>
    </row>
    <row r="208" spans="1:2" x14ac:dyDescent="0.25">
      <c r="A208" s="3" t="s">
        <v>619</v>
      </c>
      <c r="B208" s="4">
        <v>1</v>
      </c>
    </row>
    <row r="209" spans="1:2" x14ac:dyDescent="0.25">
      <c r="A209" s="3" t="s">
        <v>622</v>
      </c>
      <c r="B209" s="4">
        <v>1</v>
      </c>
    </row>
    <row r="210" spans="1:2" x14ac:dyDescent="0.25">
      <c r="A210" s="3" t="s">
        <v>625</v>
      </c>
      <c r="B210" s="4">
        <v>1</v>
      </c>
    </row>
    <row r="211" spans="1:2" x14ac:dyDescent="0.25">
      <c r="A211" s="3" t="s">
        <v>627</v>
      </c>
      <c r="B211" s="4">
        <v>1</v>
      </c>
    </row>
    <row r="212" spans="1:2" x14ac:dyDescent="0.25">
      <c r="A212" s="3" t="s">
        <v>630</v>
      </c>
      <c r="B212" s="4">
        <v>1</v>
      </c>
    </row>
    <row r="213" spans="1:2" x14ac:dyDescent="0.25">
      <c r="A213" s="3" t="s">
        <v>632</v>
      </c>
      <c r="B213" s="4">
        <v>1</v>
      </c>
    </row>
    <row r="214" spans="1:2" x14ac:dyDescent="0.25">
      <c r="A214" s="3" t="s">
        <v>634</v>
      </c>
      <c r="B214" s="4">
        <v>1</v>
      </c>
    </row>
    <row r="215" spans="1:2" x14ac:dyDescent="0.25">
      <c r="A215" s="3" t="s">
        <v>636</v>
      </c>
      <c r="B215" s="4">
        <v>1</v>
      </c>
    </row>
    <row r="216" spans="1:2" x14ac:dyDescent="0.25">
      <c r="A216" s="3" t="s">
        <v>639</v>
      </c>
      <c r="B216" s="4">
        <v>1</v>
      </c>
    </row>
    <row r="217" spans="1:2" x14ac:dyDescent="0.25">
      <c r="A217" s="3" t="s">
        <v>642</v>
      </c>
      <c r="B217" s="4">
        <v>1</v>
      </c>
    </row>
    <row r="218" spans="1:2" x14ac:dyDescent="0.25">
      <c r="A218" s="3" t="s">
        <v>644</v>
      </c>
      <c r="B218" s="4">
        <v>1</v>
      </c>
    </row>
    <row r="219" spans="1:2" x14ac:dyDescent="0.25">
      <c r="A219" s="3" t="s">
        <v>647</v>
      </c>
      <c r="B219" s="4">
        <v>1</v>
      </c>
    </row>
    <row r="220" spans="1:2" x14ac:dyDescent="0.25">
      <c r="A220" s="3" t="s">
        <v>650</v>
      </c>
      <c r="B220" s="4">
        <v>1</v>
      </c>
    </row>
    <row r="221" spans="1:2" x14ac:dyDescent="0.25">
      <c r="A221" s="3" t="s">
        <v>653</v>
      </c>
      <c r="B221" s="4">
        <v>1</v>
      </c>
    </row>
    <row r="222" spans="1:2" x14ac:dyDescent="0.25">
      <c r="A222" s="3" t="s">
        <v>655</v>
      </c>
      <c r="B222" s="4">
        <v>1</v>
      </c>
    </row>
    <row r="223" spans="1:2" x14ac:dyDescent="0.25">
      <c r="A223" s="3" t="s">
        <v>659</v>
      </c>
      <c r="B223" s="4">
        <v>1</v>
      </c>
    </row>
    <row r="224" spans="1:2" x14ac:dyDescent="0.25">
      <c r="A224" s="3" t="s">
        <v>662</v>
      </c>
      <c r="B224" s="4">
        <v>1</v>
      </c>
    </row>
    <row r="225" spans="1:2" x14ac:dyDescent="0.25">
      <c r="A225" s="3" t="s">
        <v>663</v>
      </c>
      <c r="B225" s="4">
        <v>1</v>
      </c>
    </row>
    <row r="226" spans="1:2" x14ac:dyDescent="0.25">
      <c r="A226" s="3" t="s">
        <v>666</v>
      </c>
      <c r="B226" s="4">
        <v>1</v>
      </c>
    </row>
    <row r="227" spans="1:2" x14ac:dyDescent="0.25">
      <c r="A227" s="3" t="s">
        <v>669</v>
      </c>
      <c r="B227" s="4">
        <v>1</v>
      </c>
    </row>
    <row r="228" spans="1:2" x14ac:dyDescent="0.25">
      <c r="A228" s="3" t="s">
        <v>672</v>
      </c>
      <c r="B228" s="4">
        <v>1</v>
      </c>
    </row>
    <row r="229" spans="1:2" x14ac:dyDescent="0.25">
      <c r="A229" s="3" t="s">
        <v>674</v>
      </c>
      <c r="B229" s="4">
        <v>1</v>
      </c>
    </row>
    <row r="230" spans="1:2" x14ac:dyDescent="0.25">
      <c r="A230" s="3" t="s">
        <v>677</v>
      </c>
      <c r="B230" s="4">
        <v>1</v>
      </c>
    </row>
    <row r="231" spans="1:2" x14ac:dyDescent="0.25">
      <c r="A231" s="3" t="s">
        <v>680</v>
      </c>
      <c r="B231" s="4">
        <v>1</v>
      </c>
    </row>
    <row r="232" spans="1:2" x14ac:dyDescent="0.25">
      <c r="A232" s="3" t="s">
        <v>684</v>
      </c>
      <c r="B232" s="4">
        <v>1</v>
      </c>
    </row>
    <row r="233" spans="1:2" x14ac:dyDescent="0.25">
      <c r="A233" s="3" t="s">
        <v>687</v>
      </c>
      <c r="B233" s="4">
        <v>1</v>
      </c>
    </row>
    <row r="234" spans="1:2" x14ac:dyDescent="0.25">
      <c r="A234" s="3" t="s">
        <v>688</v>
      </c>
      <c r="B234" s="4">
        <v>1</v>
      </c>
    </row>
    <row r="235" spans="1:2" x14ac:dyDescent="0.25">
      <c r="A235" s="3" t="s">
        <v>690</v>
      </c>
      <c r="B235" s="4">
        <v>1</v>
      </c>
    </row>
    <row r="236" spans="1:2" x14ac:dyDescent="0.25">
      <c r="A236" s="3" t="s">
        <v>692</v>
      </c>
      <c r="B236" s="4">
        <v>1</v>
      </c>
    </row>
    <row r="237" spans="1:2" x14ac:dyDescent="0.25">
      <c r="A237" s="3" t="s">
        <v>695</v>
      </c>
      <c r="B237" s="4">
        <v>1</v>
      </c>
    </row>
    <row r="238" spans="1:2" x14ac:dyDescent="0.25">
      <c r="A238" s="3" t="s">
        <v>698</v>
      </c>
      <c r="B238" s="4">
        <v>1</v>
      </c>
    </row>
    <row r="239" spans="1:2" x14ac:dyDescent="0.25">
      <c r="A239" s="3" t="s">
        <v>701</v>
      </c>
      <c r="B239" s="4">
        <v>1</v>
      </c>
    </row>
    <row r="240" spans="1:2" x14ac:dyDescent="0.25">
      <c r="A240" s="3" t="s">
        <v>705</v>
      </c>
      <c r="B240" s="4">
        <v>1</v>
      </c>
    </row>
    <row r="241" spans="1:2" x14ac:dyDescent="0.25">
      <c r="A241" s="3" t="s">
        <v>707</v>
      </c>
      <c r="B241" s="4">
        <v>1</v>
      </c>
    </row>
    <row r="242" spans="1:2" x14ac:dyDescent="0.25">
      <c r="A242" s="3" t="s">
        <v>710</v>
      </c>
      <c r="B242" s="4">
        <v>1</v>
      </c>
    </row>
    <row r="243" spans="1:2" x14ac:dyDescent="0.25">
      <c r="A243" s="3" t="s">
        <v>713</v>
      </c>
      <c r="B243" s="4">
        <v>1</v>
      </c>
    </row>
    <row r="244" spans="1:2" x14ac:dyDescent="0.25">
      <c r="A244" s="3" t="s">
        <v>716</v>
      </c>
      <c r="B244" s="4">
        <v>1</v>
      </c>
    </row>
    <row r="245" spans="1:2" x14ac:dyDescent="0.25">
      <c r="A245" s="3" t="s">
        <v>719</v>
      </c>
      <c r="B245" s="4">
        <v>1</v>
      </c>
    </row>
    <row r="246" spans="1:2" x14ac:dyDescent="0.25">
      <c r="A246" s="3" t="s">
        <v>721</v>
      </c>
      <c r="B246" s="4">
        <v>1</v>
      </c>
    </row>
    <row r="247" spans="1:2" x14ac:dyDescent="0.25">
      <c r="A247" s="3" t="s">
        <v>723</v>
      </c>
      <c r="B247" s="4">
        <v>1</v>
      </c>
    </row>
    <row r="248" spans="1:2" x14ac:dyDescent="0.25">
      <c r="A248" s="3" t="s">
        <v>727</v>
      </c>
      <c r="B248" s="4">
        <v>1</v>
      </c>
    </row>
    <row r="249" spans="1:2" x14ac:dyDescent="0.25">
      <c r="A249" s="3" t="s">
        <v>730</v>
      </c>
      <c r="B249" s="4">
        <v>1</v>
      </c>
    </row>
    <row r="250" spans="1:2" x14ac:dyDescent="0.25">
      <c r="A250" s="3" t="s">
        <v>733</v>
      </c>
      <c r="B250" s="4">
        <v>1</v>
      </c>
    </row>
    <row r="251" spans="1:2" x14ac:dyDescent="0.25">
      <c r="A251" s="3" t="s">
        <v>737</v>
      </c>
      <c r="B251" s="4">
        <v>1</v>
      </c>
    </row>
    <row r="252" spans="1:2" x14ac:dyDescent="0.25">
      <c r="A252" s="3" t="s">
        <v>738</v>
      </c>
      <c r="B252" s="4">
        <v>1</v>
      </c>
    </row>
    <row r="253" spans="1:2" x14ac:dyDescent="0.25">
      <c r="A253" s="3" t="s">
        <v>741</v>
      </c>
      <c r="B253" s="4">
        <v>1</v>
      </c>
    </row>
    <row r="254" spans="1:2" x14ac:dyDescent="0.25">
      <c r="A254" s="3" t="s">
        <v>742</v>
      </c>
      <c r="B254" s="4">
        <v>1</v>
      </c>
    </row>
    <row r="255" spans="1:2" x14ac:dyDescent="0.25">
      <c r="A255" s="3" t="s">
        <v>745</v>
      </c>
      <c r="B255" s="4">
        <v>1</v>
      </c>
    </row>
    <row r="256" spans="1:2" x14ac:dyDescent="0.25">
      <c r="A256" s="3" t="s">
        <v>748</v>
      </c>
      <c r="B256" s="4">
        <v>1</v>
      </c>
    </row>
    <row r="257" spans="1:2" x14ac:dyDescent="0.25">
      <c r="A257" s="3" t="s">
        <v>750</v>
      </c>
      <c r="B257" s="4">
        <v>1</v>
      </c>
    </row>
    <row r="258" spans="1:2" x14ac:dyDescent="0.25">
      <c r="A258" s="3" t="s">
        <v>753</v>
      </c>
      <c r="B258" s="4">
        <v>1</v>
      </c>
    </row>
    <row r="259" spans="1:2" x14ac:dyDescent="0.25">
      <c r="A259" s="3" t="s">
        <v>756</v>
      </c>
      <c r="B259" s="4">
        <v>1</v>
      </c>
    </row>
    <row r="260" spans="1:2" x14ac:dyDescent="0.25">
      <c r="A260" s="3" t="s">
        <v>759</v>
      </c>
      <c r="B260" s="4">
        <v>1</v>
      </c>
    </row>
    <row r="261" spans="1:2" x14ac:dyDescent="0.25">
      <c r="A261" s="3" t="s">
        <v>762</v>
      </c>
      <c r="B261" s="4">
        <v>1</v>
      </c>
    </row>
    <row r="262" spans="1:2" x14ac:dyDescent="0.25">
      <c r="A262" s="3" t="s">
        <v>765</v>
      </c>
      <c r="B262" s="4">
        <v>1</v>
      </c>
    </row>
    <row r="263" spans="1:2" x14ac:dyDescent="0.25">
      <c r="A263" s="3" t="s">
        <v>768</v>
      </c>
      <c r="B263" s="4">
        <v>1</v>
      </c>
    </row>
    <row r="264" spans="1:2" x14ac:dyDescent="0.25">
      <c r="A264" s="3" t="s">
        <v>770</v>
      </c>
      <c r="B264" s="4">
        <v>1</v>
      </c>
    </row>
    <row r="265" spans="1:2" x14ac:dyDescent="0.25">
      <c r="A265" s="3" t="s">
        <v>773</v>
      </c>
      <c r="B265" s="4">
        <v>1</v>
      </c>
    </row>
    <row r="266" spans="1:2" x14ac:dyDescent="0.25">
      <c r="A266" s="3" t="s">
        <v>776</v>
      </c>
      <c r="B266" s="4">
        <v>1</v>
      </c>
    </row>
    <row r="267" spans="1:2" x14ac:dyDescent="0.25">
      <c r="A267" s="3" t="s">
        <v>778</v>
      </c>
      <c r="B267" s="4">
        <v>1</v>
      </c>
    </row>
    <row r="268" spans="1:2" x14ac:dyDescent="0.25">
      <c r="A268" s="3" t="s">
        <v>781</v>
      </c>
      <c r="B268" s="4">
        <v>1</v>
      </c>
    </row>
    <row r="269" spans="1:2" x14ac:dyDescent="0.25">
      <c r="A269" s="3" t="s">
        <v>782</v>
      </c>
      <c r="B269" s="4">
        <v>1</v>
      </c>
    </row>
    <row r="270" spans="1:2" x14ac:dyDescent="0.25">
      <c r="A270" s="3" t="s">
        <v>785</v>
      </c>
      <c r="B270" s="4">
        <v>1</v>
      </c>
    </row>
    <row r="271" spans="1:2" x14ac:dyDescent="0.25">
      <c r="A271" s="3" t="s">
        <v>788</v>
      </c>
      <c r="B271" s="4">
        <v>1</v>
      </c>
    </row>
    <row r="272" spans="1:2" x14ac:dyDescent="0.25">
      <c r="A272" s="3" t="s">
        <v>791</v>
      </c>
      <c r="B272" s="4">
        <v>1</v>
      </c>
    </row>
    <row r="273" spans="1:2" x14ac:dyDescent="0.25">
      <c r="A273" s="3" t="s">
        <v>793</v>
      </c>
      <c r="B273" s="4">
        <v>1</v>
      </c>
    </row>
    <row r="274" spans="1:2" x14ac:dyDescent="0.25">
      <c r="A274" s="3" t="s">
        <v>796</v>
      </c>
      <c r="B274" s="4">
        <v>1</v>
      </c>
    </row>
    <row r="275" spans="1:2" x14ac:dyDescent="0.25">
      <c r="A275" s="3" t="s">
        <v>798</v>
      </c>
      <c r="B275" s="4">
        <v>1</v>
      </c>
    </row>
    <row r="276" spans="1:2" x14ac:dyDescent="0.25">
      <c r="A276" s="3" t="s">
        <v>801</v>
      </c>
      <c r="B276" s="4">
        <v>1</v>
      </c>
    </row>
    <row r="277" spans="1:2" x14ac:dyDescent="0.25">
      <c r="A277" s="3" t="s">
        <v>803</v>
      </c>
      <c r="B277" s="4">
        <v>1</v>
      </c>
    </row>
    <row r="278" spans="1:2" x14ac:dyDescent="0.25">
      <c r="A278" s="3" t="s">
        <v>806</v>
      </c>
      <c r="B278" s="4">
        <v>1</v>
      </c>
    </row>
    <row r="279" spans="1:2" x14ac:dyDescent="0.25">
      <c r="A279" s="3" t="s">
        <v>807</v>
      </c>
      <c r="B279" s="4">
        <v>1</v>
      </c>
    </row>
    <row r="280" spans="1:2" x14ac:dyDescent="0.25">
      <c r="A280" s="3" t="s">
        <v>810</v>
      </c>
      <c r="B280" s="4">
        <v>1</v>
      </c>
    </row>
    <row r="281" spans="1:2" x14ac:dyDescent="0.25">
      <c r="A281" s="3" t="s">
        <v>813</v>
      </c>
      <c r="B281" s="4">
        <v>1</v>
      </c>
    </row>
    <row r="282" spans="1:2" x14ac:dyDescent="0.25">
      <c r="A282" s="3" t="s">
        <v>816</v>
      </c>
      <c r="B282" s="4">
        <v>1</v>
      </c>
    </row>
    <row r="283" spans="1:2" x14ac:dyDescent="0.25">
      <c r="A283" s="3" t="s">
        <v>819</v>
      </c>
      <c r="B283" s="4">
        <v>1</v>
      </c>
    </row>
    <row r="284" spans="1:2" x14ac:dyDescent="0.25">
      <c r="A284" s="3" t="s">
        <v>821</v>
      </c>
      <c r="B284" s="4">
        <v>1</v>
      </c>
    </row>
    <row r="285" spans="1:2" x14ac:dyDescent="0.25">
      <c r="A285" s="3" t="s">
        <v>823</v>
      </c>
      <c r="B285" s="4">
        <v>1</v>
      </c>
    </row>
    <row r="286" spans="1:2" x14ac:dyDescent="0.25">
      <c r="A286" s="3" t="s">
        <v>826</v>
      </c>
      <c r="B286" s="4">
        <v>1</v>
      </c>
    </row>
    <row r="287" spans="1:2" x14ac:dyDescent="0.25">
      <c r="A287" s="3" t="s">
        <v>829</v>
      </c>
      <c r="B287" s="4">
        <v>1</v>
      </c>
    </row>
    <row r="288" spans="1:2" x14ac:dyDescent="0.25">
      <c r="A288" s="3" t="s">
        <v>831</v>
      </c>
      <c r="B288" s="4">
        <v>1</v>
      </c>
    </row>
    <row r="289" spans="1:2" x14ac:dyDescent="0.25">
      <c r="A289" s="3" t="s">
        <v>834</v>
      </c>
      <c r="B289" s="4">
        <v>1</v>
      </c>
    </row>
    <row r="290" spans="1:2" x14ac:dyDescent="0.25">
      <c r="A290" s="3" t="s">
        <v>837</v>
      </c>
      <c r="B290" s="4">
        <v>1</v>
      </c>
    </row>
    <row r="291" spans="1:2" x14ac:dyDescent="0.25">
      <c r="A291" s="3" t="s">
        <v>839</v>
      </c>
      <c r="B291" s="4">
        <v>1</v>
      </c>
    </row>
    <row r="292" spans="1:2" x14ac:dyDescent="0.25">
      <c r="A292" s="3" t="s">
        <v>842</v>
      </c>
      <c r="B292" s="4">
        <v>1</v>
      </c>
    </row>
    <row r="293" spans="1:2" x14ac:dyDescent="0.25">
      <c r="A293" s="3" t="s">
        <v>845</v>
      </c>
      <c r="B293" s="4">
        <v>1</v>
      </c>
    </row>
    <row r="294" spans="1:2" x14ac:dyDescent="0.25">
      <c r="A294" s="3" t="s">
        <v>848</v>
      </c>
      <c r="B294" s="4">
        <v>1</v>
      </c>
    </row>
    <row r="295" spans="1:2" x14ac:dyDescent="0.25">
      <c r="A295" s="3" t="s">
        <v>851</v>
      </c>
      <c r="B295" s="4">
        <v>1</v>
      </c>
    </row>
    <row r="296" spans="1:2" x14ac:dyDescent="0.25">
      <c r="A296" s="3" t="s">
        <v>853</v>
      </c>
      <c r="B296" s="4">
        <v>1</v>
      </c>
    </row>
    <row r="297" spans="1:2" x14ac:dyDescent="0.25">
      <c r="A297" s="3" t="s">
        <v>855</v>
      </c>
      <c r="B297" s="4">
        <v>1</v>
      </c>
    </row>
    <row r="298" spans="1:2" x14ac:dyDescent="0.25">
      <c r="A298" s="3" t="s">
        <v>857</v>
      </c>
      <c r="B298" s="4">
        <v>1</v>
      </c>
    </row>
    <row r="299" spans="1:2" x14ac:dyDescent="0.25">
      <c r="A299" s="3" t="s">
        <v>860</v>
      </c>
      <c r="B299" s="4">
        <v>1</v>
      </c>
    </row>
    <row r="300" spans="1:2" x14ac:dyDescent="0.25">
      <c r="A300" s="3" t="s">
        <v>864</v>
      </c>
      <c r="B300" s="4">
        <v>1</v>
      </c>
    </row>
    <row r="301" spans="1:2" x14ac:dyDescent="0.25">
      <c r="A301" s="3" t="s">
        <v>867</v>
      </c>
      <c r="B301" s="4">
        <v>1</v>
      </c>
    </row>
    <row r="302" spans="1:2" x14ac:dyDescent="0.25">
      <c r="A302" s="3" t="s">
        <v>870</v>
      </c>
      <c r="B302" s="4">
        <v>1</v>
      </c>
    </row>
    <row r="303" spans="1:2" x14ac:dyDescent="0.25">
      <c r="A303" s="3" t="s">
        <v>873</v>
      </c>
      <c r="B303" s="4">
        <v>1</v>
      </c>
    </row>
    <row r="304" spans="1:2" x14ac:dyDescent="0.25">
      <c r="A304" s="3" t="s">
        <v>879</v>
      </c>
      <c r="B304" s="4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M6" sqref="M6"/>
    </sheetView>
  </sheetViews>
  <sheetFormatPr defaultRowHeight="15" x14ac:dyDescent="0.25"/>
  <cols>
    <col min="1" max="1" width="20.42578125" bestFit="1" customWidth="1"/>
    <col min="2" max="2" width="16.28515625" bestFit="1" customWidth="1"/>
    <col min="3" max="3" width="6.5703125" customWidth="1"/>
    <col min="4" max="4" width="11.28515625" bestFit="1" customWidth="1"/>
  </cols>
  <sheetData>
    <row r="3" spans="1:4" x14ac:dyDescent="0.25">
      <c r="A3" s="2" t="s">
        <v>880</v>
      </c>
      <c r="B3" s="2" t="s">
        <v>885</v>
      </c>
    </row>
    <row r="4" spans="1:4" x14ac:dyDescent="0.25">
      <c r="A4" s="2" t="s">
        <v>878</v>
      </c>
      <c r="B4" t="s">
        <v>881</v>
      </c>
      <c r="C4" t="s">
        <v>882</v>
      </c>
      <c r="D4" t="s">
        <v>879</v>
      </c>
    </row>
    <row r="5" spans="1:4" x14ac:dyDescent="0.25">
      <c r="A5" s="3" t="s">
        <v>32</v>
      </c>
      <c r="B5" s="4">
        <v>37</v>
      </c>
      <c r="C5" s="4">
        <v>8</v>
      </c>
      <c r="D5" s="4">
        <v>45</v>
      </c>
    </row>
    <row r="6" spans="1:4" x14ac:dyDescent="0.25">
      <c r="A6" s="3" t="s">
        <v>39</v>
      </c>
      <c r="B6" s="4">
        <v>33</v>
      </c>
      <c r="C6" s="4">
        <v>3</v>
      </c>
      <c r="D6" s="4">
        <v>36</v>
      </c>
    </row>
    <row r="7" spans="1:4" x14ac:dyDescent="0.25">
      <c r="A7" s="3" t="s">
        <v>24</v>
      </c>
      <c r="B7" s="4">
        <v>39</v>
      </c>
      <c r="C7" s="4">
        <v>10</v>
      </c>
      <c r="D7" s="4">
        <v>49</v>
      </c>
    </row>
    <row r="8" spans="1:4" x14ac:dyDescent="0.25">
      <c r="A8" s="3" t="s">
        <v>28</v>
      </c>
      <c r="B8" s="4">
        <v>36</v>
      </c>
      <c r="C8" s="4">
        <v>12</v>
      </c>
      <c r="D8" s="4">
        <v>48</v>
      </c>
    </row>
    <row r="9" spans="1:4" x14ac:dyDescent="0.25">
      <c r="A9" s="3" t="s">
        <v>59</v>
      </c>
      <c r="B9" s="4">
        <v>26</v>
      </c>
      <c r="C9" s="4">
        <v>7</v>
      </c>
      <c r="D9" s="4">
        <v>33</v>
      </c>
    </row>
    <row r="10" spans="1:4" x14ac:dyDescent="0.25">
      <c r="A10" s="3" t="s">
        <v>11</v>
      </c>
      <c r="B10" s="4">
        <v>27</v>
      </c>
      <c r="C10" s="4">
        <v>19</v>
      </c>
      <c r="D10" s="4">
        <v>46</v>
      </c>
    </row>
    <row r="11" spans="1:4" x14ac:dyDescent="0.25">
      <c r="A11" s="3" t="s">
        <v>16</v>
      </c>
      <c r="B11" s="4">
        <v>36</v>
      </c>
      <c r="C11" s="4">
        <v>7</v>
      </c>
      <c r="D11" s="4">
        <v>43</v>
      </c>
    </row>
    <row r="12" spans="1:4" x14ac:dyDescent="0.25">
      <c r="A12" s="3" t="s">
        <v>879</v>
      </c>
      <c r="B12" s="4">
        <v>234</v>
      </c>
      <c r="C12" s="4">
        <v>66</v>
      </c>
      <c r="D12" s="4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F7" sqref="F7"/>
    </sheetView>
  </sheetViews>
  <sheetFormatPr defaultRowHeight="15" x14ac:dyDescent="0.25"/>
  <cols>
    <col min="1" max="1" width="13.140625" customWidth="1"/>
    <col min="2" max="2" width="20.42578125" bestFit="1" customWidth="1"/>
  </cols>
  <sheetData>
    <row r="3" spans="1:2" x14ac:dyDescent="0.25">
      <c r="A3" s="2" t="s">
        <v>878</v>
      </c>
      <c r="B3" t="s">
        <v>883</v>
      </c>
    </row>
    <row r="4" spans="1:2" x14ac:dyDescent="0.25">
      <c r="A4" s="3" t="s">
        <v>18</v>
      </c>
      <c r="B4" s="4">
        <v>148</v>
      </c>
    </row>
    <row r="5" spans="1:2" x14ac:dyDescent="0.25">
      <c r="A5" s="3" t="s">
        <v>13</v>
      </c>
      <c r="B5" s="4">
        <v>152</v>
      </c>
    </row>
    <row r="6" spans="1:2" x14ac:dyDescent="0.25">
      <c r="A6" s="3" t="s">
        <v>879</v>
      </c>
      <c r="B6" s="4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6" sqref="B6"/>
    </sheetView>
  </sheetViews>
  <sheetFormatPr defaultRowHeight="15" x14ac:dyDescent="0.25"/>
  <cols>
    <col min="1" max="1" width="17.28515625" bestFit="1" customWidth="1"/>
    <col min="2" max="2" width="34.85546875" bestFit="1" customWidth="1"/>
  </cols>
  <sheetData>
    <row r="3" spans="1:2" x14ac:dyDescent="0.25">
      <c r="A3" s="2" t="s">
        <v>878</v>
      </c>
      <c r="B3" t="s">
        <v>886</v>
      </c>
    </row>
    <row r="4" spans="1:2" x14ac:dyDescent="0.25">
      <c r="A4" s="3" t="s">
        <v>32</v>
      </c>
      <c r="B4" s="4">
        <v>31.444444444444443</v>
      </c>
    </row>
    <row r="5" spans="1:2" x14ac:dyDescent="0.25">
      <c r="A5" s="3" t="s">
        <v>39</v>
      </c>
      <c r="B5" s="4">
        <v>34.361111111111114</v>
      </c>
    </row>
    <row r="6" spans="1:2" x14ac:dyDescent="0.25">
      <c r="A6" s="3" t="s">
        <v>24</v>
      </c>
      <c r="B6" s="4">
        <v>26.714285714285715</v>
      </c>
    </row>
    <row r="7" spans="1:2" x14ac:dyDescent="0.25">
      <c r="A7" s="3" t="s">
        <v>28</v>
      </c>
      <c r="B7" s="4">
        <v>34.125</v>
      </c>
    </row>
    <row r="8" spans="1:2" x14ac:dyDescent="0.25">
      <c r="A8" s="3" t="s">
        <v>59</v>
      </c>
      <c r="B8" s="4">
        <v>32.393939393939391</v>
      </c>
    </row>
    <row r="9" spans="1:2" x14ac:dyDescent="0.25">
      <c r="A9" s="3" t="s">
        <v>11</v>
      </c>
      <c r="B9" s="4">
        <v>36.630434782608695</v>
      </c>
    </row>
    <row r="10" spans="1:2" x14ac:dyDescent="0.25">
      <c r="A10" s="3" t="s">
        <v>16</v>
      </c>
      <c r="B10" s="4">
        <v>27.13953488372093</v>
      </c>
    </row>
    <row r="11" spans="1:2" x14ac:dyDescent="0.25">
      <c r="A11" s="3" t="s">
        <v>879</v>
      </c>
      <c r="B11" s="4">
        <v>31.733333333333334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6" sqref="B6"/>
    </sheetView>
  </sheetViews>
  <sheetFormatPr defaultRowHeight="15" x14ac:dyDescent="0.25"/>
  <cols>
    <col min="1" max="1" width="13.140625" customWidth="1"/>
    <col min="2" max="2" width="20.42578125" bestFit="1" customWidth="1"/>
  </cols>
  <sheetData>
    <row r="3" spans="1:2" x14ac:dyDescent="0.25">
      <c r="A3" s="2" t="s">
        <v>878</v>
      </c>
      <c r="B3" t="s">
        <v>883</v>
      </c>
    </row>
    <row r="4" spans="1:2" x14ac:dyDescent="0.25">
      <c r="A4" s="3">
        <v>1</v>
      </c>
      <c r="B4" s="4">
        <v>48</v>
      </c>
    </row>
    <row r="5" spans="1:2" x14ac:dyDescent="0.25">
      <c r="A5" s="3">
        <v>2</v>
      </c>
      <c r="B5" s="4">
        <v>63</v>
      </c>
    </row>
    <row r="6" spans="1:2" x14ac:dyDescent="0.25">
      <c r="A6" s="3">
        <v>3</v>
      </c>
      <c r="B6" s="4">
        <v>65</v>
      </c>
    </row>
    <row r="7" spans="1:2" x14ac:dyDescent="0.25">
      <c r="A7" s="3">
        <v>4</v>
      </c>
      <c r="B7" s="4">
        <v>60</v>
      </c>
    </row>
    <row r="8" spans="1:2" x14ac:dyDescent="0.25">
      <c r="A8" s="3">
        <v>5</v>
      </c>
      <c r="B8" s="4">
        <v>64</v>
      </c>
    </row>
    <row r="9" spans="1:2" x14ac:dyDescent="0.25">
      <c r="A9" s="3" t="s">
        <v>879</v>
      </c>
      <c r="B9" s="4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opLeftCell="A300" workbookViewId="0">
      <selection activeCell="D2" sqref="D2"/>
    </sheetView>
  </sheetViews>
  <sheetFormatPr defaultRowHeight="15" x14ac:dyDescent="0.25"/>
  <cols>
    <col min="1" max="1" width="14.28515625" customWidth="1"/>
    <col min="2" max="2" width="19" customWidth="1"/>
    <col min="3" max="3" width="15" customWidth="1"/>
    <col min="4" max="4" width="10" customWidth="1"/>
    <col min="5" max="5" width="6.5703125" customWidth="1"/>
    <col min="6" max="6" width="9.85546875" customWidth="1"/>
    <col min="7" max="7" width="22" customWidth="1"/>
    <col min="8" max="8" width="13" customWidth="1"/>
    <col min="9" max="9" width="21" customWidth="1"/>
    <col min="10" max="10" width="27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876</v>
      </c>
      <c r="L1" s="1" t="s">
        <v>877</v>
      </c>
    </row>
    <row r="2" spans="1:12" x14ac:dyDescent="0.25">
      <c r="A2" t="s">
        <v>10</v>
      </c>
      <c r="B2" t="s">
        <v>11</v>
      </c>
      <c r="C2" t="s">
        <v>12</v>
      </c>
      <c r="D2">
        <v>303669</v>
      </c>
      <c r="E2">
        <v>28</v>
      </c>
      <c r="F2" t="s">
        <v>13</v>
      </c>
      <c r="G2" t="s">
        <v>14</v>
      </c>
      <c r="I2">
        <v>4</v>
      </c>
      <c r="J2">
        <v>48</v>
      </c>
      <c r="K2" t="str">
        <f>IF(tbl_employee_master[[#This Row],[Exit Date]]="","Active","Exited")</f>
        <v>Active</v>
      </c>
      <c r="L2">
        <f ca="1">DATEDIF(tbl_employee_master[[#This Row],[Joining Date]],TODAY(),"Y")</f>
        <v>4</v>
      </c>
    </row>
    <row r="3" spans="1:12" x14ac:dyDescent="0.25">
      <c r="A3" t="s">
        <v>15</v>
      </c>
      <c r="B3" t="s">
        <v>16</v>
      </c>
      <c r="C3" t="s">
        <v>17</v>
      </c>
      <c r="D3">
        <v>340564</v>
      </c>
      <c r="E3">
        <v>50</v>
      </c>
      <c r="F3" t="s">
        <v>18</v>
      </c>
      <c r="G3" t="s">
        <v>19</v>
      </c>
      <c r="I3">
        <v>1</v>
      </c>
      <c r="J3">
        <v>11</v>
      </c>
      <c r="K3" t="str">
        <f>IF(tbl_employee_master[[#This Row],[Exit Date]]="","Active","Exited")</f>
        <v>Active</v>
      </c>
      <c r="L3">
        <f ca="1">DATEDIF(tbl_employee_master[[#This Row],[Joining Date]],TODAY(),"Y")</f>
        <v>4</v>
      </c>
    </row>
    <row r="4" spans="1:12" x14ac:dyDescent="0.25">
      <c r="A4" t="s">
        <v>20</v>
      </c>
      <c r="B4" t="s">
        <v>11</v>
      </c>
      <c r="C4" t="s">
        <v>21</v>
      </c>
      <c r="D4">
        <v>768213</v>
      </c>
      <c r="E4">
        <v>33</v>
      </c>
      <c r="F4" t="s">
        <v>13</v>
      </c>
      <c r="G4" t="s">
        <v>22</v>
      </c>
      <c r="I4">
        <v>4</v>
      </c>
      <c r="J4">
        <v>19</v>
      </c>
      <c r="K4" t="str">
        <f>IF(tbl_employee_master[[#This Row],[Exit Date]]="","Active","Exited")</f>
        <v>Active</v>
      </c>
      <c r="L4">
        <f ca="1">DATEDIF(tbl_employee_master[[#This Row],[Joining Date]],TODAY(),"Y")</f>
        <v>1</v>
      </c>
    </row>
    <row r="5" spans="1:12" x14ac:dyDescent="0.25">
      <c r="A5" t="s">
        <v>23</v>
      </c>
      <c r="B5" t="s">
        <v>24</v>
      </c>
      <c r="C5" t="s">
        <v>25</v>
      </c>
      <c r="D5">
        <v>447363</v>
      </c>
      <c r="E5">
        <v>41</v>
      </c>
      <c r="F5" t="s">
        <v>18</v>
      </c>
      <c r="G5" t="s">
        <v>26</v>
      </c>
      <c r="I5">
        <v>2</v>
      </c>
      <c r="J5">
        <v>32</v>
      </c>
      <c r="K5" t="str">
        <f>IF(tbl_employee_master[[#This Row],[Exit Date]]="","Active","Exited")</f>
        <v>Active</v>
      </c>
      <c r="L5">
        <f ca="1">DATEDIF(tbl_employee_master[[#This Row],[Joining Date]],TODAY(),"Y")</f>
        <v>0</v>
      </c>
    </row>
    <row r="6" spans="1:12" x14ac:dyDescent="0.25">
      <c r="A6" t="s">
        <v>27</v>
      </c>
      <c r="B6" t="s">
        <v>28</v>
      </c>
      <c r="C6" t="s">
        <v>29</v>
      </c>
      <c r="D6">
        <v>372925</v>
      </c>
      <c r="E6">
        <v>23</v>
      </c>
      <c r="F6" t="s">
        <v>13</v>
      </c>
      <c r="G6" t="s">
        <v>30</v>
      </c>
      <c r="I6">
        <v>5</v>
      </c>
      <c r="J6">
        <v>57</v>
      </c>
      <c r="K6" t="str">
        <f>IF(tbl_employee_master[[#This Row],[Exit Date]]="","Active","Exited")</f>
        <v>Active</v>
      </c>
      <c r="L6">
        <f ca="1">DATEDIF(tbl_employee_master[[#This Row],[Joining Date]],TODAY(),"Y")</f>
        <v>2</v>
      </c>
    </row>
    <row r="7" spans="1:12" x14ac:dyDescent="0.25">
      <c r="A7" t="s">
        <v>31</v>
      </c>
      <c r="B7" t="s">
        <v>32</v>
      </c>
      <c r="C7" t="s">
        <v>33</v>
      </c>
      <c r="D7">
        <v>1434618</v>
      </c>
      <c r="E7">
        <v>47</v>
      </c>
      <c r="F7" t="s">
        <v>13</v>
      </c>
      <c r="G7" t="s">
        <v>34</v>
      </c>
      <c r="I7">
        <v>5</v>
      </c>
      <c r="J7">
        <v>19</v>
      </c>
      <c r="K7" t="str">
        <f>IF(tbl_employee_master[[#This Row],[Exit Date]]="","Active","Exited")</f>
        <v>Active</v>
      </c>
      <c r="L7">
        <f ca="1">DATEDIF(tbl_employee_master[[#This Row],[Joining Date]],TODAY(),"Y")</f>
        <v>2</v>
      </c>
    </row>
    <row r="8" spans="1:12" x14ac:dyDescent="0.25">
      <c r="A8" t="s">
        <v>35</v>
      </c>
      <c r="B8" t="s">
        <v>24</v>
      </c>
      <c r="C8" t="s">
        <v>36</v>
      </c>
      <c r="D8">
        <v>1298208</v>
      </c>
      <c r="E8">
        <v>43</v>
      </c>
      <c r="F8" t="s">
        <v>13</v>
      </c>
      <c r="G8" t="s">
        <v>37</v>
      </c>
      <c r="I8">
        <v>2</v>
      </c>
      <c r="J8">
        <v>27</v>
      </c>
      <c r="K8" t="str">
        <f>IF(tbl_employee_master[[#This Row],[Exit Date]]="","Active","Exited")</f>
        <v>Active</v>
      </c>
      <c r="L8">
        <f ca="1">DATEDIF(tbl_employee_master[[#This Row],[Joining Date]],TODAY(),"Y")</f>
        <v>3</v>
      </c>
    </row>
    <row r="9" spans="1:12" x14ac:dyDescent="0.25">
      <c r="A9" t="s">
        <v>38</v>
      </c>
      <c r="B9" t="s">
        <v>39</v>
      </c>
      <c r="C9" t="s">
        <v>40</v>
      </c>
      <c r="D9">
        <v>686525</v>
      </c>
      <c r="E9">
        <v>46</v>
      </c>
      <c r="F9" t="s">
        <v>18</v>
      </c>
      <c r="G9" t="s">
        <v>41</v>
      </c>
      <c r="I9">
        <v>1</v>
      </c>
      <c r="J9">
        <v>36</v>
      </c>
      <c r="K9" t="str">
        <f>IF(tbl_employee_master[[#This Row],[Exit Date]]="","Active","Exited")</f>
        <v>Active</v>
      </c>
      <c r="L9">
        <f ca="1">DATEDIF(tbl_employee_master[[#This Row],[Joining Date]],TODAY(),"Y")</f>
        <v>0</v>
      </c>
    </row>
    <row r="10" spans="1:12" x14ac:dyDescent="0.25">
      <c r="A10" t="s">
        <v>42</v>
      </c>
      <c r="B10" t="s">
        <v>16</v>
      </c>
      <c r="C10" t="s">
        <v>43</v>
      </c>
      <c r="D10">
        <v>1636953</v>
      </c>
      <c r="E10">
        <v>39</v>
      </c>
      <c r="F10" t="s">
        <v>18</v>
      </c>
      <c r="G10" t="s">
        <v>44</v>
      </c>
      <c r="I10">
        <v>1</v>
      </c>
      <c r="J10">
        <v>50</v>
      </c>
      <c r="K10" t="str">
        <f>IF(tbl_employee_master[[#This Row],[Exit Date]]="","Active","Exited")</f>
        <v>Active</v>
      </c>
      <c r="L10">
        <f ca="1">DATEDIF(tbl_employee_master[[#This Row],[Joining Date]],TODAY(),"Y")</f>
        <v>1</v>
      </c>
    </row>
    <row r="11" spans="1:12" x14ac:dyDescent="0.25">
      <c r="A11" t="s">
        <v>45</v>
      </c>
      <c r="B11" t="s">
        <v>16</v>
      </c>
      <c r="C11" t="s">
        <v>46</v>
      </c>
      <c r="D11">
        <v>1026770</v>
      </c>
      <c r="E11">
        <v>34</v>
      </c>
      <c r="F11" t="s">
        <v>18</v>
      </c>
      <c r="G11" t="s">
        <v>47</v>
      </c>
      <c r="H11" t="s">
        <v>48</v>
      </c>
      <c r="I11">
        <v>2</v>
      </c>
      <c r="J11">
        <v>12</v>
      </c>
      <c r="K11" t="str">
        <f>IF(tbl_employee_master[[#This Row],[Exit Date]]="","Active","Exited")</f>
        <v>Exited</v>
      </c>
      <c r="L11">
        <f ca="1">DATEDIF(tbl_employee_master[[#This Row],[Joining Date]],TODAY(),"Y")</f>
        <v>3</v>
      </c>
    </row>
    <row r="12" spans="1:12" x14ac:dyDescent="0.25">
      <c r="A12" t="s">
        <v>49</v>
      </c>
      <c r="B12" t="s">
        <v>11</v>
      </c>
      <c r="C12" t="s">
        <v>50</v>
      </c>
      <c r="D12">
        <v>1238300</v>
      </c>
      <c r="E12">
        <v>26</v>
      </c>
      <c r="F12" t="s">
        <v>18</v>
      </c>
      <c r="G12" t="s">
        <v>51</v>
      </c>
      <c r="H12" t="s">
        <v>48</v>
      </c>
      <c r="I12">
        <v>4</v>
      </c>
      <c r="J12">
        <v>43</v>
      </c>
      <c r="K12" t="str">
        <f>IF(tbl_employee_master[[#This Row],[Exit Date]]="","Active","Exited")</f>
        <v>Exited</v>
      </c>
      <c r="L12">
        <f ca="1">DATEDIF(tbl_employee_master[[#This Row],[Joining Date]],TODAY(),"Y")</f>
        <v>0</v>
      </c>
    </row>
    <row r="13" spans="1:12" x14ac:dyDescent="0.25">
      <c r="A13" t="s">
        <v>52</v>
      </c>
      <c r="B13" t="s">
        <v>16</v>
      </c>
      <c r="C13" t="s">
        <v>53</v>
      </c>
      <c r="D13">
        <v>985433</v>
      </c>
      <c r="E13">
        <v>33</v>
      </c>
      <c r="F13" t="s">
        <v>13</v>
      </c>
      <c r="G13" t="s">
        <v>54</v>
      </c>
      <c r="I13">
        <v>5</v>
      </c>
      <c r="J13">
        <v>52</v>
      </c>
      <c r="K13" t="str">
        <f>IF(tbl_employee_master[[#This Row],[Exit Date]]="","Active","Exited")</f>
        <v>Active</v>
      </c>
      <c r="L13">
        <f ca="1">DATEDIF(tbl_employee_master[[#This Row],[Joining Date]],TODAY(),"Y")</f>
        <v>1</v>
      </c>
    </row>
    <row r="14" spans="1:12" x14ac:dyDescent="0.25">
      <c r="A14" t="s">
        <v>55</v>
      </c>
      <c r="B14" t="s">
        <v>39</v>
      </c>
      <c r="C14" t="s">
        <v>56</v>
      </c>
      <c r="D14">
        <v>1250759</v>
      </c>
      <c r="E14">
        <v>45</v>
      </c>
      <c r="F14" t="s">
        <v>18</v>
      </c>
      <c r="G14" t="s">
        <v>57</v>
      </c>
      <c r="I14">
        <v>1</v>
      </c>
      <c r="J14">
        <v>56</v>
      </c>
      <c r="K14" t="str">
        <f>IF(tbl_employee_master[[#This Row],[Exit Date]]="","Active","Exited")</f>
        <v>Active</v>
      </c>
      <c r="L14">
        <f ca="1">DATEDIF(tbl_employee_master[[#This Row],[Joining Date]],TODAY(),"Y")</f>
        <v>5</v>
      </c>
    </row>
    <row r="15" spans="1:12" x14ac:dyDescent="0.25">
      <c r="A15" t="s">
        <v>58</v>
      </c>
      <c r="B15" t="s">
        <v>59</v>
      </c>
      <c r="C15" t="s">
        <v>60</v>
      </c>
      <c r="D15">
        <v>561057</v>
      </c>
      <c r="E15">
        <v>24</v>
      </c>
      <c r="F15" t="s">
        <v>18</v>
      </c>
      <c r="G15" t="s">
        <v>61</v>
      </c>
      <c r="I15">
        <v>3</v>
      </c>
      <c r="J15">
        <v>42</v>
      </c>
      <c r="K15" t="str">
        <f>IF(tbl_employee_master[[#This Row],[Exit Date]]="","Active","Exited")</f>
        <v>Active</v>
      </c>
      <c r="L15">
        <f ca="1">DATEDIF(tbl_employee_master[[#This Row],[Joining Date]],TODAY(),"Y")</f>
        <v>4</v>
      </c>
    </row>
    <row r="16" spans="1:12" x14ac:dyDescent="0.25">
      <c r="A16" t="s">
        <v>62</v>
      </c>
      <c r="B16" t="s">
        <v>32</v>
      </c>
      <c r="C16" t="s">
        <v>63</v>
      </c>
      <c r="D16">
        <v>783980</v>
      </c>
      <c r="E16">
        <v>42</v>
      </c>
      <c r="F16" t="s">
        <v>13</v>
      </c>
      <c r="G16" t="s">
        <v>64</v>
      </c>
      <c r="H16" t="s">
        <v>65</v>
      </c>
      <c r="I16">
        <v>5</v>
      </c>
      <c r="J16">
        <v>35</v>
      </c>
      <c r="K16" t="str">
        <f>IF(tbl_employee_master[[#This Row],[Exit Date]]="","Active","Exited")</f>
        <v>Exited</v>
      </c>
      <c r="L16">
        <f ca="1">DATEDIF(tbl_employee_master[[#This Row],[Joining Date]],TODAY(),"Y")</f>
        <v>6</v>
      </c>
    </row>
    <row r="17" spans="1:12" x14ac:dyDescent="0.25">
      <c r="A17" t="s">
        <v>66</v>
      </c>
      <c r="B17" t="s">
        <v>16</v>
      </c>
      <c r="C17" t="s">
        <v>67</v>
      </c>
      <c r="D17">
        <v>1678379</v>
      </c>
      <c r="E17">
        <v>31</v>
      </c>
      <c r="F17" t="s">
        <v>18</v>
      </c>
      <c r="G17" t="s">
        <v>68</v>
      </c>
      <c r="I17">
        <v>4</v>
      </c>
      <c r="J17">
        <v>52</v>
      </c>
      <c r="K17" t="str">
        <f>IF(tbl_employee_master[[#This Row],[Exit Date]]="","Active","Exited")</f>
        <v>Active</v>
      </c>
      <c r="L17">
        <f ca="1">DATEDIF(tbl_employee_master[[#This Row],[Joining Date]],TODAY(),"Y")</f>
        <v>5</v>
      </c>
    </row>
    <row r="18" spans="1:12" x14ac:dyDescent="0.25">
      <c r="A18" t="s">
        <v>69</v>
      </c>
      <c r="B18" t="s">
        <v>32</v>
      </c>
      <c r="C18" t="s">
        <v>70</v>
      </c>
      <c r="D18">
        <v>605119</v>
      </c>
      <c r="E18">
        <v>24</v>
      </c>
      <c r="F18" t="s">
        <v>13</v>
      </c>
      <c r="G18" t="s">
        <v>71</v>
      </c>
      <c r="I18">
        <v>5</v>
      </c>
      <c r="J18">
        <v>49</v>
      </c>
      <c r="K18" t="str">
        <f>IF(tbl_employee_master[[#This Row],[Exit Date]]="","Active","Exited")</f>
        <v>Active</v>
      </c>
      <c r="L18">
        <f ca="1">DATEDIF(tbl_employee_master[[#This Row],[Joining Date]],TODAY(),"Y")</f>
        <v>1</v>
      </c>
    </row>
    <row r="19" spans="1:12" x14ac:dyDescent="0.25">
      <c r="A19" t="s">
        <v>72</v>
      </c>
      <c r="B19" t="s">
        <v>32</v>
      </c>
      <c r="C19" t="s">
        <v>73</v>
      </c>
      <c r="D19">
        <v>1591192</v>
      </c>
      <c r="E19">
        <v>27</v>
      </c>
      <c r="F19" t="s">
        <v>18</v>
      </c>
      <c r="G19" t="s">
        <v>74</v>
      </c>
      <c r="I19">
        <v>3</v>
      </c>
      <c r="J19">
        <v>8</v>
      </c>
      <c r="K19" t="str">
        <f>IF(tbl_employee_master[[#This Row],[Exit Date]]="","Active","Exited")</f>
        <v>Active</v>
      </c>
      <c r="L19">
        <f ca="1">DATEDIF(tbl_employee_master[[#This Row],[Joining Date]],TODAY(),"Y")</f>
        <v>4</v>
      </c>
    </row>
    <row r="20" spans="1:12" x14ac:dyDescent="0.25">
      <c r="A20" t="s">
        <v>75</v>
      </c>
      <c r="B20" t="s">
        <v>11</v>
      </c>
      <c r="C20" t="s">
        <v>76</v>
      </c>
      <c r="D20">
        <v>817476</v>
      </c>
      <c r="E20">
        <v>31</v>
      </c>
      <c r="F20" t="s">
        <v>18</v>
      </c>
      <c r="G20" t="s">
        <v>77</v>
      </c>
      <c r="H20" t="s">
        <v>78</v>
      </c>
      <c r="I20">
        <v>1</v>
      </c>
      <c r="J20">
        <v>4</v>
      </c>
      <c r="K20" t="str">
        <f>IF(tbl_employee_master[[#This Row],[Exit Date]]="","Active","Exited")</f>
        <v>Exited</v>
      </c>
      <c r="L20">
        <f ca="1">DATEDIF(tbl_employee_master[[#This Row],[Joining Date]],TODAY(),"Y")</f>
        <v>6</v>
      </c>
    </row>
    <row r="21" spans="1:12" x14ac:dyDescent="0.25">
      <c r="A21" t="s">
        <v>79</v>
      </c>
      <c r="B21" t="s">
        <v>11</v>
      </c>
      <c r="C21" t="s">
        <v>80</v>
      </c>
      <c r="D21">
        <v>1621508</v>
      </c>
      <c r="E21">
        <v>32</v>
      </c>
      <c r="F21" t="s">
        <v>18</v>
      </c>
      <c r="G21" t="s">
        <v>81</v>
      </c>
      <c r="I21">
        <v>5</v>
      </c>
      <c r="J21">
        <v>51</v>
      </c>
      <c r="K21" t="str">
        <f>IF(tbl_employee_master[[#This Row],[Exit Date]]="","Active","Exited")</f>
        <v>Active</v>
      </c>
      <c r="L21">
        <f ca="1">DATEDIF(tbl_employee_master[[#This Row],[Joining Date]],TODAY(),"Y")</f>
        <v>1</v>
      </c>
    </row>
    <row r="22" spans="1:12" x14ac:dyDescent="0.25">
      <c r="A22" t="s">
        <v>82</v>
      </c>
      <c r="B22" t="s">
        <v>32</v>
      </c>
      <c r="C22" t="s">
        <v>83</v>
      </c>
      <c r="D22">
        <v>381467</v>
      </c>
      <c r="E22">
        <v>35</v>
      </c>
      <c r="F22" t="s">
        <v>13</v>
      </c>
      <c r="G22" t="s">
        <v>84</v>
      </c>
      <c r="I22">
        <v>3</v>
      </c>
      <c r="J22">
        <v>22</v>
      </c>
      <c r="K22" t="str">
        <f>IF(tbl_employee_master[[#This Row],[Exit Date]]="","Active","Exited")</f>
        <v>Active</v>
      </c>
      <c r="L22">
        <f ca="1">DATEDIF(tbl_employee_master[[#This Row],[Joining Date]],TODAY(),"Y")</f>
        <v>2</v>
      </c>
    </row>
    <row r="23" spans="1:12" x14ac:dyDescent="0.25">
      <c r="A23" t="s">
        <v>85</v>
      </c>
      <c r="B23" t="s">
        <v>11</v>
      </c>
      <c r="C23" t="s">
        <v>86</v>
      </c>
      <c r="D23">
        <v>1799720</v>
      </c>
      <c r="E23">
        <v>34</v>
      </c>
      <c r="F23" t="s">
        <v>13</v>
      </c>
      <c r="G23" t="s">
        <v>87</v>
      </c>
      <c r="H23" t="s">
        <v>48</v>
      </c>
      <c r="I23">
        <v>4</v>
      </c>
      <c r="J23">
        <v>17</v>
      </c>
      <c r="K23" t="str">
        <f>IF(tbl_employee_master[[#This Row],[Exit Date]]="","Active","Exited")</f>
        <v>Exited</v>
      </c>
      <c r="L23">
        <f ca="1">DATEDIF(tbl_employee_master[[#This Row],[Joining Date]],TODAY(),"Y")</f>
        <v>1</v>
      </c>
    </row>
    <row r="24" spans="1:12" x14ac:dyDescent="0.25">
      <c r="A24" t="s">
        <v>88</v>
      </c>
      <c r="B24" t="s">
        <v>16</v>
      </c>
      <c r="C24" t="s">
        <v>89</v>
      </c>
      <c r="D24">
        <v>1797577</v>
      </c>
      <c r="E24">
        <v>45</v>
      </c>
      <c r="F24" t="s">
        <v>13</v>
      </c>
      <c r="G24" t="s">
        <v>90</v>
      </c>
      <c r="I24">
        <v>5</v>
      </c>
      <c r="J24">
        <v>37</v>
      </c>
      <c r="K24" t="str">
        <f>IF(tbl_employee_master[[#This Row],[Exit Date]]="","Active","Exited")</f>
        <v>Active</v>
      </c>
      <c r="L24">
        <f ca="1">DATEDIF(tbl_employee_master[[#This Row],[Joining Date]],TODAY(),"Y")</f>
        <v>1</v>
      </c>
    </row>
    <row r="25" spans="1:12" x14ac:dyDescent="0.25">
      <c r="A25" t="s">
        <v>91</v>
      </c>
      <c r="B25" t="s">
        <v>39</v>
      </c>
      <c r="C25" t="s">
        <v>92</v>
      </c>
      <c r="D25">
        <v>1583887</v>
      </c>
      <c r="E25">
        <v>46</v>
      </c>
      <c r="F25" t="s">
        <v>18</v>
      </c>
      <c r="G25" t="s">
        <v>93</v>
      </c>
      <c r="I25">
        <v>1</v>
      </c>
      <c r="J25">
        <v>40</v>
      </c>
      <c r="K25" t="str">
        <f>IF(tbl_employee_master[[#This Row],[Exit Date]]="","Active","Exited")</f>
        <v>Active</v>
      </c>
      <c r="L25">
        <f ca="1">DATEDIF(tbl_employee_master[[#This Row],[Joining Date]],TODAY(),"Y")</f>
        <v>4</v>
      </c>
    </row>
    <row r="26" spans="1:12" x14ac:dyDescent="0.25">
      <c r="A26" t="s">
        <v>94</v>
      </c>
      <c r="B26" t="s">
        <v>24</v>
      </c>
      <c r="C26" t="s">
        <v>95</v>
      </c>
      <c r="D26">
        <v>631206</v>
      </c>
      <c r="E26">
        <v>38</v>
      </c>
      <c r="F26" t="s">
        <v>18</v>
      </c>
      <c r="G26" t="s">
        <v>96</v>
      </c>
      <c r="I26">
        <v>2</v>
      </c>
      <c r="J26">
        <v>34</v>
      </c>
      <c r="K26" t="str">
        <f>IF(tbl_employee_master[[#This Row],[Exit Date]]="","Active","Exited")</f>
        <v>Active</v>
      </c>
      <c r="L26">
        <f ca="1">DATEDIF(tbl_employee_master[[#This Row],[Joining Date]],TODAY(),"Y")</f>
        <v>6</v>
      </c>
    </row>
    <row r="27" spans="1:12" x14ac:dyDescent="0.25">
      <c r="A27" t="s">
        <v>97</v>
      </c>
      <c r="B27" t="s">
        <v>39</v>
      </c>
      <c r="C27" t="s">
        <v>98</v>
      </c>
      <c r="D27">
        <v>543714</v>
      </c>
      <c r="E27">
        <v>23</v>
      </c>
      <c r="F27" t="s">
        <v>13</v>
      </c>
      <c r="G27" t="s">
        <v>99</v>
      </c>
      <c r="I27">
        <v>4</v>
      </c>
      <c r="J27">
        <v>43</v>
      </c>
      <c r="K27" t="str">
        <f>IF(tbl_employee_master[[#This Row],[Exit Date]]="","Active","Exited")</f>
        <v>Active</v>
      </c>
      <c r="L27">
        <f ca="1">DATEDIF(tbl_employee_master[[#This Row],[Joining Date]],TODAY(),"Y")</f>
        <v>3</v>
      </c>
    </row>
    <row r="28" spans="1:12" x14ac:dyDescent="0.25">
      <c r="A28" t="s">
        <v>100</v>
      </c>
      <c r="B28" t="s">
        <v>32</v>
      </c>
      <c r="C28" t="s">
        <v>101</v>
      </c>
      <c r="D28">
        <v>1322148</v>
      </c>
      <c r="E28">
        <v>41</v>
      </c>
      <c r="F28" t="s">
        <v>18</v>
      </c>
      <c r="G28" t="s">
        <v>102</v>
      </c>
      <c r="I28">
        <v>3</v>
      </c>
      <c r="J28">
        <v>37</v>
      </c>
      <c r="K28" t="str">
        <f>IF(tbl_employee_master[[#This Row],[Exit Date]]="","Active","Exited")</f>
        <v>Active</v>
      </c>
      <c r="L28">
        <f ca="1">DATEDIF(tbl_employee_master[[#This Row],[Joining Date]],TODAY(),"Y")</f>
        <v>2</v>
      </c>
    </row>
    <row r="29" spans="1:12" x14ac:dyDescent="0.25">
      <c r="A29" t="s">
        <v>103</v>
      </c>
      <c r="B29" t="s">
        <v>11</v>
      </c>
      <c r="C29" t="s">
        <v>104</v>
      </c>
      <c r="D29">
        <v>1663936</v>
      </c>
      <c r="E29">
        <v>45</v>
      </c>
      <c r="F29" t="s">
        <v>18</v>
      </c>
      <c r="G29" t="s">
        <v>105</v>
      </c>
      <c r="H29" t="s">
        <v>48</v>
      </c>
      <c r="I29">
        <v>3</v>
      </c>
      <c r="J29">
        <v>17</v>
      </c>
      <c r="K29" t="str">
        <f>IF(tbl_employee_master[[#This Row],[Exit Date]]="","Active","Exited")</f>
        <v>Exited</v>
      </c>
      <c r="L29">
        <f ca="1">DATEDIF(tbl_employee_master[[#This Row],[Joining Date]],TODAY(),"Y")</f>
        <v>0</v>
      </c>
    </row>
    <row r="30" spans="1:12" x14ac:dyDescent="0.25">
      <c r="A30" t="s">
        <v>106</v>
      </c>
      <c r="B30" t="s">
        <v>24</v>
      </c>
      <c r="C30" t="s">
        <v>107</v>
      </c>
      <c r="D30">
        <v>606607</v>
      </c>
      <c r="E30">
        <v>28</v>
      </c>
      <c r="F30" t="s">
        <v>13</v>
      </c>
      <c r="G30" t="s">
        <v>108</v>
      </c>
      <c r="I30">
        <v>5</v>
      </c>
      <c r="J30">
        <v>13</v>
      </c>
      <c r="K30" t="str">
        <f>IF(tbl_employee_master[[#This Row],[Exit Date]]="","Active","Exited")</f>
        <v>Active</v>
      </c>
      <c r="L30">
        <f ca="1">DATEDIF(tbl_employee_master[[#This Row],[Joining Date]],TODAY(),"Y")</f>
        <v>3</v>
      </c>
    </row>
    <row r="31" spans="1:12" x14ac:dyDescent="0.25">
      <c r="A31" t="s">
        <v>109</v>
      </c>
      <c r="B31" t="s">
        <v>32</v>
      </c>
      <c r="C31" t="s">
        <v>110</v>
      </c>
      <c r="D31">
        <v>1075356</v>
      </c>
      <c r="E31">
        <v>30</v>
      </c>
      <c r="F31" t="s">
        <v>18</v>
      </c>
      <c r="G31" t="s">
        <v>111</v>
      </c>
      <c r="I31">
        <v>1</v>
      </c>
      <c r="J31">
        <v>38</v>
      </c>
      <c r="K31" t="str">
        <f>IF(tbl_employee_master[[#This Row],[Exit Date]]="","Active","Exited")</f>
        <v>Active</v>
      </c>
      <c r="L31">
        <f ca="1">DATEDIF(tbl_employee_master[[#This Row],[Joining Date]],TODAY(),"Y")</f>
        <v>2</v>
      </c>
    </row>
    <row r="32" spans="1:12" x14ac:dyDescent="0.25">
      <c r="A32" t="s">
        <v>112</v>
      </c>
      <c r="B32" t="s">
        <v>11</v>
      </c>
      <c r="C32" t="s">
        <v>113</v>
      </c>
      <c r="D32">
        <v>1340020</v>
      </c>
      <c r="E32">
        <v>47</v>
      </c>
      <c r="F32" t="s">
        <v>13</v>
      </c>
      <c r="G32" t="s">
        <v>114</v>
      </c>
      <c r="H32" t="s">
        <v>115</v>
      </c>
      <c r="I32">
        <v>3</v>
      </c>
      <c r="J32">
        <v>50</v>
      </c>
      <c r="K32" t="str">
        <f>IF(tbl_employee_master[[#This Row],[Exit Date]]="","Active","Exited")</f>
        <v>Exited</v>
      </c>
      <c r="L32">
        <f ca="1">DATEDIF(tbl_employee_master[[#This Row],[Joining Date]],TODAY(),"Y")</f>
        <v>3</v>
      </c>
    </row>
    <row r="33" spans="1:12" x14ac:dyDescent="0.25">
      <c r="A33" t="s">
        <v>116</v>
      </c>
      <c r="B33" t="s">
        <v>16</v>
      </c>
      <c r="C33" t="s">
        <v>117</v>
      </c>
      <c r="D33">
        <v>1315524</v>
      </c>
      <c r="E33">
        <v>43</v>
      </c>
      <c r="F33" t="s">
        <v>18</v>
      </c>
      <c r="G33" t="s">
        <v>118</v>
      </c>
      <c r="I33">
        <v>1</v>
      </c>
      <c r="J33">
        <v>35</v>
      </c>
      <c r="K33" t="str">
        <f>IF(tbl_employee_master[[#This Row],[Exit Date]]="","Active","Exited")</f>
        <v>Active</v>
      </c>
      <c r="L33">
        <f ca="1">DATEDIF(tbl_employee_master[[#This Row],[Joining Date]],TODAY(),"Y")</f>
        <v>1</v>
      </c>
    </row>
    <row r="34" spans="1:12" x14ac:dyDescent="0.25">
      <c r="A34" t="s">
        <v>119</v>
      </c>
      <c r="B34" t="s">
        <v>39</v>
      </c>
      <c r="C34" t="s">
        <v>120</v>
      </c>
      <c r="D34">
        <v>632109</v>
      </c>
      <c r="E34">
        <v>43</v>
      </c>
      <c r="F34" t="s">
        <v>13</v>
      </c>
      <c r="G34" t="s">
        <v>121</v>
      </c>
      <c r="H34" t="s">
        <v>122</v>
      </c>
      <c r="I34">
        <v>1</v>
      </c>
      <c r="J34">
        <v>26</v>
      </c>
      <c r="K34" t="str">
        <f>IF(tbl_employee_master[[#This Row],[Exit Date]]="","Active","Exited")</f>
        <v>Exited</v>
      </c>
      <c r="L34">
        <f ca="1">DATEDIF(tbl_employee_master[[#This Row],[Joining Date]],TODAY(),"Y")</f>
        <v>3</v>
      </c>
    </row>
    <row r="35" spans="1:12" x14ac:dyDescent="0.25">
      <c r="A35" t="s">
        <v>123</v>
      </c>
      <c r="B35" t="s">
        <v>39</v>
      </c>
      <c r="C35" t="s">
        <v>124</v>
      </c>
      <c r="D35">
        <v>812319</v>
      </c>
      <c r="E35">
        <v>34</v>
      </c>
      <c r="F35" t="s">
        <v>18</v>
      </c>
      <c r="G35" t="s">
        <v>125</v>
      </c>
      <c r="I35">
        <v>5</v>
      </c>
      <c r="J35">
        <v>10</v>
      </c>
      <c r="K35" t="str">
        <f>IF(tbl_employee_master[[#This Row],[Exit Date]]="","Active","Exited")</f>
        <v>Active</v>
      </c>
      <c r="L35">
        <f ca="1">DATEDIF(tbl_employee_master[[#This Row],[Joining Date]],TODAY(),"Y")</f>
        <v>0</v>
      </c>
    </row>
    <row r="36" spans="1:12" x14ac:dyDescent="0.25">
      <c r="A36" t="s">
        <v>126</v>
      </c>
      <c r="B36" t="s">
        <v>39</v>
      </c>
      <c r="C36" t="s">
        <v>127</v>
      </c>
      <c r="D36">
        <v>1736107</v>
      </c>
      <c r="E36">
        <v>41</v>
      </c>
      <c r="F36" t="s">
        <v>18</v>
      </c>
      <c r="G36" t="s">
        <v>128</v>
      </c>
      <c r="I36">
        <v>3</v>
      </c>
      <c r="J36">
        <v>60</v>
      </c>
      <c r="K36" t="str">
        <f>IF(tbl_employee_master[[#This Row],[Exit Date]]="","Active","Exited")</f>
        <v>Active</v>
      </c>
      <c r="L36">
        <f ca="1">DATEDIF(tbl_employee_master[[#This Row],[Joining Date]],TODAY(),"Y")</f>
        <v>5</v>
      </c>
    </row>
    <row r="37" spans="1:12" x14ac:dyDescent="0.25">
      <c r="A37" t="s">
        <v>129</v>
      </c>
      <c r="B37" t="s">
        <v>39</v>
      </c>
      <c r="C37" t="s">
        <v>130</v>
      </c>
      <c r="D37">
        <v>931160</v>
      </c>
      <c r="E37">
        <v>28</v>
      </c>
      <c r="F37" t="s">
        <v>13</v>
      </c>
      <c r="G37" t="s">
        <v>131</v>
      </c>
      <c r="I37">
        <v>5</v>
      </c>
      <c r="J37">
        <v>12</v>
      </c>
      <c r="K37" t="str">
        <f>IF(tbl_employee_master[[#This Row],[Exit Date]]="","Active","Exited")</f>
        <v>Active</v>
      </c>
      <c r="L37">
        <f ca="1">DATEDIF(tbl_employee_master[[#This Row],[Joining Date]],TODAY(),"Y")</f>
        <v>5</v>
      </c>
    </row>
    <row r="38" spans="1:12" x14ac:dyDescent="0.25">
      <c r="A38" t="s">
        <v>132</v>
      </c>
      <c r="B38" t="s">
        <v>28</v>
      </c>
      <c r="C38" t="s">
        <v>133</v>
      </c>
      <c r="D38">
        <v>1439592</v>
      </c>
      <c r="E38">
        <v>38</v>
      </c>
      <c r="F38" t="s">
        <v>18</v>
      </c>
      <c r="G38" t="s">
        <v>134</v>
      </c>
      <c r="I38">
        <v>3</v>
      </c>
      <c r="J38">
        <v>4</v>
      </c>
      <c r="K38" t="str">
        <f>IF(tbl_employee_master[[#This Row],[Exit Date]]="","Active","Exited")</f>
        <v>Active</v>
      </c>
      <c r="L38">
        <f ca="1">DATEDIF(tbl_employee_master[[#This Row],[Joining Date]],TODAY(),"Y")</f>
        <v>2</v>
      </c>
    </row>
    <row r="39" spans="1:12" x14ac:dyDescent="0.25">
      <c r="A39" t="s">
        <v>135</v>
      </c>
      <c r="B39" t="s">
        <v>39</v>
      </c>
      <c r="C39" t="s">
        <v>136</v>
      </c>
      <c r="D39">
        <v>944661</v>
      </c>
      <c r="E39">
        <v>31</v>
      </c>
      <c r="F39" t="s">
        <v>18</v>
      </c>
      <c r="G39" t="s">
        <v>137</v>
      </c>
      <c r="I39">
        <v>5</v>
      </c>
      <c r="J39">
        <v>25</v>
      </c>
      <c r="K39" t="str">
        <f>IF(tbl_employee_master[[#This Row],[Exit Date]]="","Active","Exited")</f>
        <v>Active</v>
      </c>
      <c r="L39">
        <f ca="1">DATEDIF(tbl_employee_master[[#This Row],[Joining Date]],TODAY(),"Y")</f>
        <v>5</v>
      </c>
    </row>
    <row r="40" spans="1:12" x14ac:dyDescent="0.25">
      <c r="A40" t="s">
        <v>138</v>
      </c>
      <c r="B40" t="s">
        <v>59</v>
      </c>
      <c r="C40" t="s">
        <v>139</v>
      </c>
      <c r="D40">
        <v>1536688</v>
      </c>
      <c r="E40">
        <v>38</v>
      </c>
      <c r="F40" t="s">
        <v>13</v>
      </c>
      <c r="G40" t="s">
        <v>140</v>
      </c>
      <c r="H40" t="s">
        <v>48</v>
      </c>
      <c r="I40">
        <v>3</v>
      </c>
      <c r="J40">
        <v>55</v>
      </c>
      <c r="K40" t="str">
        <f>IF(tbl_employee_master[[#This Row],[Exit Date]]="","Active","Exited")</f>
        <v>Exited</v>
      </c>
      <c r="L40">
        <f ca="1">DATEDIF(tbl_employee_master[[#This Row],[Joining Date]],TODAY(),"Y")</f>
        <v>3</v>
      </c>
    </row>
    <row r="41" spans="1:12" x14ac:dyDescent="0.25">
      <c r="A41" t="s">
        <v>141</v>
      </c>
      <c r="B41" t="s">
        <v>16</v>
      </c>
      <c r="C41" t="s">
        <v>142</v>
      </c>
      <c r="D41">
        <v>312402</v>
      </c>
      <c r="E41">
        <v>38</v>
      </c>
      <c r="F41" t="s">
        <v>13</v>
      </c>
      <c r="G41" t="s">
        <v>143</v>
      </c>
      <c r="I41">
        <v>4</v>
      </c>
      <c r="J41">
        <v>40</v>
      </c>
      <c r="K41" t="str">
        <f>IF(tbl_employee_master[[#This Row],[Exit Date]]="","Active","Exited")</f>
        <v>Active</v>
      </c>
      <c r="L41">
        <f ca="1">DATEDIF(tbl_employee_master[[#This Row],[Joining Date]],TODAY(),"Y")</f>
        <v>2</v>
      </c>
    </row>
    <row r="42" spans="1:12" x14ac:dyDescent="0.25">
      <c r="A42" t="s">
        <v>144</v>
      </c>
      <c r="B42" t="s">
        <v>59</v>
      </c>
      <c r="C42" t="s">
        <v>145</v>
      </c>
      <c r="D42">
        <v>1043243</v>
      </c>
      <c r="E42">
        <v>45</v>
      </c>
      <c r="F42" t="s">
        <v>18</v>
      </c>
      <c r="G42" t="s">
        <v>146</v>
      </c>
      <c r="I42">
        <v>2</v>
      </c>
      <c r="J42">
        <v>34</v>
      </c>
      <c r="K42" t="str">
        <f>IF(tbl_employee_master[[#This Row],[Exit Date]]="","Active","Exited")</f>
        <v>Active</v>
      </c>
      <c r="L42">
        <f ca="1">DATEDIF(tbl_employee_master[[#This Row],[Joining Date]],TODAY(),"Y")</f>
        <v>4</v>
      </c>
    </row>
    <row r="43" spans="1:12" x14ac:dyDescent="0.25">
      <c r="A43" t="s">
        <v>147</v>
      </c>
      <c r="B43" t="s">
        <v>28</v>
      </c>
      <c r="C43" t="s">
        <v>44</v>
      </c>
      <c r="D43">
        <v>1358725</v>
      </c>
      <c r="E43">
        <v>41</v>
      </c>
      <c r="F43" t="s">
        <v>13</v>
      </c>
      <c r="G43" t="s">
        <v>148</v>
      </c>
      <c r="H43" t="s">
        <v>48</v>
      </c>
      <c r="I43">
        <v>5</v>
      </c>
      <c r="J43">
        <v>1</v>
      </c>
      <c r="K43" t="str">
        <f>IF(tbl_employee_master[[#This Row],[Exit Date]]="","Active","Exited")</f>
        <v>Exited</v>
      </c>
      <c r="L43">
        <f ca="1">DATEDIF(tbl_employee_master[[#This Row],[Joining Date]],TODAY(),"Y")</f>
        <v>1</v>
      </c>
    </row>
    <row r="44" spans="1:12" x14ac:dyDescent="0.25">
      <c r="A44" t="s">
        <v>149</v>
      </c>
      <c r="B44" t="s">
        <v>28</v>
      </c>
      <c r="C44" t="s">
        <v>150</v>
      </c>
      <c r="D44">
        <v>508564</v>
      </c>
      <c r="E44">
        <v>35</v>
      </c>
      <c r="F44" t="s">
        <v>18</v>
      </c>
      <c r="G44" t="s">
        <v>151</v>
      </c>
      <c r="H44" t="s">
        <v>152</v>
      </c>
      <c r="I44">
        <v>5</v>
      </c>
      <c r="J44">
        <v>56</v>
      </c>
      <c r="K44" t="str">
        <f>IF(tbl_employee_master[[#This Row],[Exit Date]]="","Active","Exited")</f>
        <v>Exited</v>
      </c>
      <c r="L44">
        <f ca="1">DATEDIF(tbl_employee_master[[#This Row],[Joining Date]],TODAY(),"Y")</f>
        <v>3</v>
      </c>
    </row>
    <row r="45" spans="1:12" x14ac:dyDescent="0.25">
      <c r="A45" t="s">
        <v>153</v>
      </c>
      <c r="B45" t="s">
        <v>32</v>
      </c>
      <c r="C45" t="s">
        <v>154</v>
      </c>
      <c r="D45">
        <v>1664940</v>
      </c>
      <c r="E45">
        <v>40</v>
      </c>
      <c r="F45" t="s">
        <v>18</v>
      </c>
      <c r="G45" t="s">
        <v>155</v>
      </c>
      <c r="H45" t="s">
        <v>156</v>
      </c>
      <c r="I45">
        <v>4</v>
      </c>
      <c r="J45">
        <v>3</v>
      </c>
      <c r="K45" t="str">
        <f>IF(tbl_employee_master[[#This Row],[Exit Date]]="","Active","Exited")</f>
        <v>Exited</v>
      </c>
      <c r="L45">
        <f ca="1">DATEDIF(tbl_employee_master[[#This Row],[Joining Date]],TODAY(),"Y")</f>
        <v>3</v>
      </c>
    </row>
    <row r="46" spans="1:12" x14ac:dyDescent="0.25">
      <c r="A46" t="s">
        <v>157</v>
      </c>
      <c r="B46" t="s">
        <v>39</v>
      </c>
      <c r="C46" t="s">
        <v>158</v>
      </c>
      <c r="D46">
        <v>1428788</v>
      </c>
      <c r="E46">
        <v>34</v>
      </c>
      <c r="F46" t="s">
        <v>18</v>
      </c>
      <c r="G46" t="s">
        <v>159</v>
      </c>
      <c r="I46">
        <v>5</v>
      </c>
      <c r="J46">
        <v>52</v>
      </c>
      <c r="K46" t="str">
        <f>IF(tbl_employee_master[[#This Row],[Exit Date]]="","Active","Exited")</f>
        <v>Active</v>
      </c>
      <c r="L46">
        <f ca="1">DATEDIF(tbl_employee_master[[#This Row],[Joining Date]],TODAY(),"Y")</f>
        <v>1</v>
      </c>
    </row>
    <row r="47" spans="1:12" x14ac:dyDescent="0.25">
      <c r="A47" t="s">
        <v>160</v>
      </c>
      <c r="B47" t="s">
        <v>59</v>
      </c>
      <c r="C47" t="s">
        <v>161</v>
      </c>
      <c r="D47">
        <v>1468685</v>
      </c>
      <c r="E47">
        <v>37</v>
      </c>
      <c r="F47" t="s">
        <v>18</v>
      </c>
      <c r="G47" t="s">
        <v>162</v>
      </c>
      <c r="I47">
        <v>1</v>
      </c>
      <c r="J47">
        <v>18</v>
      </c>
      <c r="K47" t="str">
        <f>IF(tbl_employee_master[[#This Row],[Exit Date]]="","Active","Exited")</f>
        <v>Active</v>
      </c>
      <c r="L47">
        <f ca="1">DATEDIF(tbl_employee_master[[#This Row],[Joining Date]],TODAY(),"Y")</f>
        <v>2</v>
      </c>
    </row>
    <row r="48" spans="1:12" x14ac:dyDescent="0.25">
      <c r="A48" t="s">
        <v>163</v>
      </c>
      <c r="B48" t="s">
        <v>28</v>
      </c>
      <c r="C48" t="s">
        <v>164</v>
      </c>
      <c r="D48">
        <v>1413056</v>
      </c>
      <c r="E48">
        <v>49</v>
      </c>
      <c r="F48" t="s">
        <v>18</v>
      </c>
      <c r="G48" t="s">
        <v>165</v>
      </c>
      <c r="I48">
        <v>1</v>
      </c>
      <c r="J48">
        <v>59</v>
      </c>
      <c r="K48" t="str">
        <f>IF(tbl_employee_master[[#This Row],[Exit Date]]="","Active","Exited")</f>
        <v>Active</v>
      </c>
      <c r="L48">
        <f ca="1">DATEDIF(tbl_employee_master[[#This Row],[Joining Date]],TODAY(),"Y")</f>
        <v>1</v>
      </c>
    </row>
    <row r="49" spans="1:12" x14ac:dyDescent="0.25">
      <c r="A49" t="s">
        <v>166</v>
      </c>
      <c r="B49" t="s">
        <v>39</v>
      </c>
      <c r="C49" t="s">
        <v>167</v>
      </c>
      <c r="D49">
        <v>977313</v>
      </c>
      <c r="E49">
        <v>50</v>
      </c>
      <c r="F49" t="s">
        <v>13</v>
      </c>
      <c r="G49" t="s">
        <v>168</v>
      </c>
      <c r="I49">
        <v>3</v>
      </c>
      <c r="J49">
        <v>46</v>
      </c>
      <c r="K49" t="str">
        <f>IF(tbl_employee_master[[#This Row],[Exit Date]]="","Active","Exited")</f>
        <v>Active</v>
      </c>
      <c r="L49">
        <f ca="1">DATEDIF(tbl_employee_master[[#This Row],[Joining Date]],TODAY(),"Y")</f>
        <v>1</v>
      </c>
    </row>
    <row r="50" spans="1:12" x14ac:dyDescent="0.25">
      <c r="A50" t="s">
        <v>169</v>
      </c>
      <c r="B50" t="s">
        <v>39</v>
      </c>
      <c r="C50" t="s">
        <v>170</v>
      </c>
      <c r="D50">
        <v>1685237</v>
      </c>
      <c r="E50">
        <v>49</v>
      </c>
      <c r="F50" t="s">
        <v>18</v>
      </c>
      <c r="G50" t="s">
        <v>171</v>
      </c>
      <c r="I50">
        <v>2</v>
      </c>
      <c r="J50">
        <v>41</v>
      </c>
      <c r="K50" t="str">
        <f>IF(tbl_employee_master[[#This Row],[Exit Date]]="","Active","Exited")</f>
        <v>Active</v>
      </c>
      <c r="L50">
        <f ca="1">DATEDIF(tbl_employee_master[[#This Row],[Joining Date]],TODAY(),"Y")</f>
        <v>4</v>
      </c>
    </row>
    <row r="51" spans="1:12" x14ac:dyDescent="0.25">
      <c r="A51" t="s">
        <v>172</v>
      </c>
      <c r="B51" t="s">
        <v>11</v>
      </c>
      <c r="C51" t="s">
        <v>173</v>
      </c>
      <c r="D51">
        <v>599455</v>
      </c>
      <c r="E51">
        <v>46</v>
      </c>
      <c r="F51" t="s">
        <v>13</v>
      </c>
      <c r="G51" t="s">
        <v>174</v>
      </c>
      <c r="H51" t="s">
        <v>48</v>
      </c>
      <c r="I51">
        <v>1</v>
      </c>
      <c r="J51">
        <v>28</v>
      </c>
      <c r="K51" t="str">
        <f>IF(tbl_employee_master[[#This Row],[Exit Date]]="","Active","Exited")</f>
        <v>Exited</v>
      </c>
      <c r="L51">
        <f ca="1">DATEDIF(tbl_employee_master[[#This Row],[Joining Date]],TODAY(),"Y")</f>
        <v>0</v>
      </c>
    </row>
    <row r="52" spans="1:12" x14ac:dyDescent="0.25">
      <c r="A52" t="s">
        <v>175</v>
      </c>
      <c r="B52" t="s">
        <v>28</v>
      </c>
      <c r="C52" t="s">
        <v>176</v>
      </c>
      <c r="D52">
        <v>1063252</v>
      </c>
      <c r="E52">
        <v>47</v>
      </c>
      <c r="F52" t="s">
        <v>18</v>
      </c>
      <c r="G52" t="s">
        <v>177</v>
      </c>
      <c r="I52">
        <v>2</v>
      </c>
      <c r="J52">
        <v>9</v>
      </c>
      <c r="K52" t="str">
        <f>IF(tbl_employee_master[[#This Row],[Exit Date]]="","Active","Exited")</f>
        <v>Active</v>
      </c>
      <c r="L52">
        <f ca="1">DATEDIF(tbl_employee_master[[#This Row],[Joining Date]],TODAY(),"Y")</f>
        <v>3</v>
      </c>
    </row>
    <row r="53" spans="1:12" x14ac:dyDescent="0.25">
      <c r="A53" t="s">
        <v>178</v>
      </c>
      <c r="B53" t="s">
        <v>16</v>
      </c>
      <c r="C53" t="s">
        <v>179</v>
      </c>
      <c r="D53">
        <v>521620</v>
      </c>
      <c r="E53">
        <v>50</v>
      </c>
      <c r="F53" t="s">
        <v>13</v>
      </c>
      <c r="G53" t="s">
        <v>180</v>
      </c>
      <c r="I53">
        <v>3</v>
      </c>
      <c r="J53">
        <v>1</v>
      </c>
      <c r="K53" t="str">
        <f>IF(tbl_employee_master[[#This Row],[Exit Date]]="","Active","Exited")</f>
        <v>Active</v>
      </c>
      <c r="L53">
        <f ca="1">DATEDIF(tbl_employee_master[[#This Row],[Joining Date]],TODAY(),"Y")</f>
        <v>2</v>
      </c>
    </row>
    <row r="54" spans="1:12" x14ac:dyDescent="0.25">
      <c r="A54" t="s">
        <v>181</v>
      </c>
      <c r="B54" t="s">
        <v>32</v>
      </c>
      <c r="C54" t="s">
        <v>182</v>
      </c>
      <c r="D54">
        <v>1186858</v>
      </c>
      <c r="E54">
        <v>46</v>
      </c>
      <c r="F54" t="s">
        <v>18</v>
      </c>
      <c r="G54" t="s">
        <v>183</v>
      </c>
      <c r="I54">
        <v>5</v>
      </c>
      <c r="J54">
        <v>40</v>
      </c>
      <c r="K54" t="str">
        <f>IF(tbl_employee_master[[#This Row],[Exit Date]]="","Active","Exited")</f>
        <v>Active</v>
      </c>
      <c r="L54">
        <f ca="1">DATEDIF(tbl_employee_master[[#This Row],[Joining Date]],TODAY(),"Y")</f>
        <v>2</v>
      </c>
    </row>
    <row r="55" spans="1:12" x14ac:dyDescent="0.25">
      <c r="A55" t="s">
        <v>184</v>
      </c>
      <c r="B55" t="s">
        <v>59</v>
      </c>
      <c r="C55" t="s">
        <v>185</v>
      </c>
      <c r="D55">
        <v>320140</v>
      </c>
      <c r="E55">
        <v>24</v>
      </c>
      <c r="F55" t="s">
        <v>18</v>
      </c>
      <c r="G55" t="s">
        <v>186</v>
      </c>
      <c r="I55">
        <v>4</v>
      </c>
      <c r="J55">
        <v>4</v>
      </c>
      <c r="K55" t="str">
        <f>IF(tbl_employee_master[[#This Row],[Exit Date]]="","Active","Exited")</f>
        <v>Active</v>
      </c>
      <c r="L55">
        <f ca="1">DATEDIF(tbl_employee_master[[#This Row],[Joining Date]],TODAY(),"Y")</f>
        <v>0</v>
      </c>
    </row>
    <row r="56" spans="1:12" x14ac:dyDescent="0.25">
      <c r="A56" t="s">
        <v>187</v>
      </c>
      <c r="B56" t="s">
        <v>11</v>
      </c>
      <c r="C56" t="s">
        <v>188</v>
      </c>
      <c r="D56">
        <v>1602134</v>
      </c>
      <c r="E56">
        <v>25</v>
      </c>
      <c r="F56" t="s">
        <v>18</v>
      </c>
      <c r="G56" t="s">
        <v>189</v>
      </c>
      <c r="I56">
        <v>4</v>
      </c>
      <c r="J56">
        <v>25</v>
      </c>
      <c r="K56" t="str">
        <f>IF(tbl_employee_master[[#This Row],[Exit Date]]="","Active","Exited")</f>
        <v>Active</v>
      </c>
      <c r="L56">
        <f ca="1">DATEDIF(tbl_employee_master[[#This Row],[Joining Date]],TODAY(),"Y")</f>
        <v>3</v>
      </c>
    </row>
    <row r="57" spans="1:12" x14ac:dyDescent="0.25">
      <c r="A57" t="s">
        <v>190</v>
      </c>
      <c r="B57" t="s">
        <v>11</v>
      </c>
      <c r="C57" t="s">
        <v>191</v>
      </c>
      <c r="D57">
        <v>1256326</v>
      </c>
      <c r="E57">
        <v>30</v>
      </c>
      <c r="F57" t="s">
        <v>13</v>
      </c>
      <c r="G57" t="s">
        <v>192</v>
      </c>
      <c r="H57" t="s">
        <v>48</v>
      </c>
      <c r="I57">
        <v>2</v>
      </c>
      <c r="J57">
        <v>24</v>
      </c>
      <c r="K57" t="str">
        <f>IF(tbl_employee_master[[#This Row],[Exit Date]]="","Active","Exited")</f>
        <v>Exited</v>
      </c>
      <c r="L57">
        <f ca="1">DATEDIF(tbl_employee_master[[#This Row],[Joining Date]],TODAY(),"Y")</f>
        <v>3</v>
      </c>
    </row>
    <row r="58" spans="1:12" x14ac:dyDescent="0.25">
      <c r="A58" t="s">
        <v>193</v>
      </c>
      <c r="B58" t="s">
        <v>32</v>
      </c>
      <c r="C58" t="s">
        <v>194</v>
      </c>
      <c r="D58">
        <v>677423</v>
      </c>
      <c r="E58">
        <v>50</v>
      </c>
      <c r="F58" t="s">
        <v>13</v>
      </c>
      <c r="G58" t="s">
        <v>195</v>
      </c>
      <c r="I58">
        <v>1</v>
      </c>
      <c r="J58">
        <v>19</v>
      </c>
      <c r="K58" t="str">
        <f>IF(tbl_employee_master[[#This Row],[Exit Date]]="","Active","Exited")</f>
        <v>Active</v>
      </c>
      <c r="L58">
        <f ca="1">DATEDIF(tbl_employee_master[[#This Row],[Joining Date]],TODAY(),"Y")</f>
        <v>4</v>
      </c>
    </row>
    <row r="59" spans="1:12" x14ac:dyDescent="0.25">
      <c r="A59" t="s">
        <v>196</v>
      </c>
      <c r="B59" t="s">
        <v>32</v>
      </c>
      <c r="C59" t="s">
        <v>67</v>
      </c>
      <c r="D59">
        <v>1572277</v>
      </c>
      <c r="E59">
        <v>42</v>
      </c>
      <c r="F59" t="s">
        <v>13</v>
      </c>
      <c r="G59" t="s">
        <v>197</v>
      </c>
      <c r="I59">
        <v>3</v>
      </c>
      <c r="J59">
        <v>26</v>
      </c>
      <c r="K59" t="str">
        <f>IF(tbl_employee_master[[#This Row],[Exit Date]]="","Active","Exited")</f>
        <v>Active</v>
      </c>
      <c r="L59">
        <f ca="1">DATEDIF(tbl_employee_master[[#This Row],[Joining Date]],TODAY(),"Y")</f>
        <v>5</v>
      </c>
    </row>
    <row r="60" spans="1:12" x14ac:dyDescent="0.25">
      <c r="A60" t="s">
        <v>198</v>
      </c>
      <c r="B60" t="s">
        <v>24</v>
      </c>
      <c r="C60" t="s">
        <v>199</v>
      </c>
      <c r="D60">
        <v>379857</v>
      </c>
      <c r="E60">
        <v>34</v>
      </c>
      <c r="F60" t="s">
        <v>18</v>
      </c>
      <c r="G60" t="s">
        <v>200</v>
      </c>
      <c r="H60" t="s">
        <v>48</v>
      </c>
      <c r="I60">
        <v>3</v>
      </c>
      <c r="J60">
        <v>13</v>
      </c>
      <c r="K60" t="str">
        <f>IF(tbl_employee_master[[#This Row],[Exit Date]]="","Active","Exited")</f>
        <v>Exited</v>
      </c>
      <c r="L60">
        <f ca="1">DATEDIF(tbl_employee_master[[#This Row],[Joining Date]],TODAY(),"Y")</f>
        <v>1</v>
      </c>
    </row>
    <row r="61" spans="1:12" x14ac:dyDescent="0.25">
      <c r="A61" t="s">
        <v>201</v>
      </c>
      <c r="B61" t="s">
        <v>59</v>
      </c>
      <c r="C61" t="s">
        <v>202</v>
      </c>
      <c r="D61">
        <v>1019046</v>
      </c>
      <c r="E61">
        <v>28</v>
      </c>
      <c r="F61" t="s">
        <v>18</v>
      </c>
      <c r="G61" t="s">
        <v>203</v>
      </c>
      <c r="I61">
        <v>4</v>
      </c>
      <c r="J61">
        <v>46</v>
      </c>
      <c r="K61" t="str">
        <f>IF(tbl_employee_master[[#This Row],[Exit Date]]="","Active","Exited")</f>
        <v>Active</v>
      </c>
      <c r="L61">
        <f ca="1">DATEDIF(tbl_employee_master[[#This Row],[Joining Date]],TODAY(),"Y")</f>
        <v>1</v>
      </c>
    </row>
    <row r="62" spans="1:12" x14ac:dyDescent="0.25">
      <c r="A62" t="s">
        <v>204</v>
      </c>
      <c r="B62" t="s">
        <v>24</v>
      </c>
      <c r="C62" t="s">
        <v>205</v>
      </c>
      <c r="D62">
        <v>1653210</v>
      </c>
      <c r="E62">
        <v>42</v>
      </c>
      <c r="F62" t="s">
        <v>18</v>
      </c>
      <c r="G62" t="s">
        <v>206</v>
      </c>
      <c r="I62">
        <v>4</v>
      </c>
      <c r="J62">
        <v>9</v>
      </c>
      <c r="K62" t="str">
        <f>IF(tbl_employee_master[[#This Row],[Exit Date]]="","Active","Exited")</f>
        <v>Active</v>
      </c>
      <c r="L62">
        <f ca="1">DATEDIF(tbl_employee_master[[#This Row],[Joining Date]],TODAY(),"Y")</f>
        <v>5</v>
      </c>
    </row>
    <row r="63" spans="1:12" x14ac:dyDescent="0.25">
      <c r="A63" t="s">
        <v>207</v>
      </c>
      <c r="B63" t="s">
        <v>59</v>
      </c>
      <c r="C63" t="s">
        <v>208</v>
      </c>
      <c r="D63">
        <v>1359308</v>
      </c>
      <c r="E63">
        <v>31</v>
      </c>
      <c r="F63" t="s">
        <v>18</v>
      </c>
      <c r="G63" t="s">
        <v>209</v>
      </c>
      <c r="I63">
        <v>4</v>
      </c>
      <c r="J63">
        <v>50</v>
      </c>
      <c r="K63" t="str">
        <f>IF(tbl_employee_master[[#This Row],[Exit Date]]="","Active","Exited")</f>
        <v>Active</v>
      </c>
      <c r="L63">
        <f ca="1">DATEDIF(tbl_employee_master[[#This Row],[Joining Date]],TODAY(),"Y")</f>
        <v>6</v>
      </c>
    </row>
    <row r="64" spans="1:12" x14ac:dyDescent="0.25">
      <c r="A64" t="s">
        <v>210</v>
      </c>
      <c r="B64" t="s">
        <v>16</v>
      </c>
      <c r="C64" t="s">
        <v>211</v>
      </c>
      <c r="D64">
        <v>1434578</v>
      </c>
      <c r="E64">
        <v>47</v>
      </c>
      <c r="F64" t="s">
        <v>18</v>
      </c>
      <c r="G64" t="s">
        <v>212</v>
      </c>
      <c r="H64" t="s">
        <v>48</v>
      </c>
      <c r="I64">
        <v>5</v>
      </c>
      <c r="J64">
        <v>7</v>
      </c>
      <c r="K64" t="str">
        <f>IF(tbl_employee_master[[#This Row],[Exit Date]]="","Active","Exited")</f>
        <v>Exited</v>
      </c>
      <c r="L64">
        <f ca="1">DATEDIF(tbl_employee_master[[#This Row],[Joining Date]],TODAY(),"Y")</f>
        <v>1</v>
      </c>
    </row>
    <row r="65" spans="1:12" x14ac:dyDescent="0.25">
      <c r="A65" t="s">
        <v>213</v>
      </c>
      <c r="B65" t="s">
        <v>39</v>
      </c>
      <c r="C65" t="s">
        <v>214</v>
      </c>
      <c r="D65">
        <v>1752705</v>
      </c>
      <c r="E65">
        <v>28</v>
      </c>
      <c r="F65" t="s">
        <v>18</v>
      </c>
      <c r="G65" t="s">
        <v>215</v>
      </c>
      <c r="I65">
        <v>4</v>
      </c>
      <c r="J65">
        <v>1</v>
      </c>
      <c r="K65" t="str">
        <f>IF(tbl_employee_master[[#This Row],[Exit Date]]="","Active","Exited")</f>
        <v>Active</v>
      </c>
      <c r="L65">
        <f ca="1">DATEDIF(tbl_employee_master[[#This Row],[Joining Date]],TODAY(),"Y")</f>
        <v>4</v>
      </c>
    </row>
    <row r="66" spans="1:12" x14ac:dyDescent="0.25">
      <c r="A66" t="s">
        <v>216</v>
      </c>
      <c r="B66" t="s">
        <v>16</v>
      </c>
      <c r="C66" t="s">
        <v>217</v>
      </c>
      <c r="D66">
        <v>1311295</v>
      </c>
      <c r="E66">
        <v>47</v>
      </c>
      <c r="F66" t="s">
        <v>13</v>
      </c>
      <c r="G66" t="s">
        <v>218</v>
      </c>
      <c r="I66">
        <v>2</v>
      </c>
      <c r="J66">
        <v>58</v>
      </c>
      <c r="K66" t="str">
        <f>IF(tbl_employee_master[[#This Row],[Exit Date]]="","Active","Exited")</f>
        <v>Active</v>
      </c>
      <c r="L66">
        <f ca="1">DATEDIF(tbl_employee_master[[#This Row],[Joining Date]],TODAY(),"Y")</f>
        <v>1</v>
      </c>
    </row>
    <row r="67" spans="1:12" x14ac:dyDescent="0.25">
      <c r="A67" t="s">
        <v>219</v>
      </c>
      <c r="B67" t="s">
        <v>59</v>
      </c>
      <c r="C67" t="s">
        <v>220</v>
      </c>
      <c r="D67">
        <v>338635</v>
      </c>
      <c r="E67">
        <v>43</v>
      </c>
      <c r="F67" t="s">
        <v>13</v>
      </c>
      <c r="G67" t="s">
        <v>221</v>
      </c>
      <c r="I67">
        <v>5</v>
      </c>
      <c r="J67">
        <v>35</v>
      </c>
      <c r="K67" t="str">
        <f>IF(tbl_employee_master[[#This Row],[Exit Date]]="","Active","Exited")</f>
        <v>Active</v>
      </c>
      <c r="L67">
        <f ca="1">DATEDIF(tbl_employee_master[[#This Row],[Joining Date]],TODAY(),"Y")</f>
        <v>0</v>
      </c>
    </row>
    <row r="68" spans="1:12" x14ac:dyDescent="0.25">
      <c r="A68" t="s">
        <v>222</v>
      </c>
      <c r="B68" t="s">
        <v>39</v>
      </c>
      <c r="C68" t="s">
        <v>223</v>
      </c>
      <c r="D68">
        <v>1078350</v>
      </c>
      <c r="E68">
        <v>38</v>
      </c>
      <c r="F68" t="s">
        <v>18</v>
      </c>
      <c r="G68" t="s">
        <v>224</v>
      </c>
      <c r="H68" t="s">
        <v>225</v>
      </c>
      <c r="I68">
        <v>1</v>
      </c>
      <c r="J68">
        <v>17</v>
      </c>
      <c r="K68" t="str">
        <f>IF(tbl_employee_master[[#This Row],[Exit Date]]="","Active","Exited")</f>
        <v>Exited</v>
      </c>
      <c r="L68">
        <f ca="1">DATEDIF(tbl_employee_master[[#This Row],[Joining Date]],TODAY(),"Y")</f>
        <v>6</v>
      </c>
    </row>
    <row r="69" spans="1:12" x14ac:dyDescent="0.25">
      <c r="A69" t="s">
        <v>226</v>
      </c>
      <c r="B69" t="s">
        <v>16</v>
      </c>
      <c r="C69" t="s">
        <v>227</v>
      </c>
      <c r="D69">
        <v>1042332</v>
      </c>
      <c r="E69">
        <v>30</v>
      </c>
      <c r="F69" t="s">
        <v>13</v>
      </c>
      <c r="G69" t="s">
        <v>228</v>
      </c>
      <c r="I69">
        <v>5</v>
      </c>
      <c r="J69">
        <v>34</v>
      </c>
      <c r="K69" t="str">
        <f>IF(tbl_employee_master[[#This Row],[Exit Date]]="","Active","Exited")</f>
        <v>Active</v>
      </c>
      <c r="L69">
        <f ca="1">DATEDIF(tbl_employee_master[[#This Row],[Joining Date]],TODAY(),"Y")</f>
        <v>1</v>
      </c>
    </row>
    <row r="70" spans="1:12" x14ac:dyDescent="0.25">
      <c r="A70" t="s">
        <v>229</v>
      </c>
      <c r="B70" t="s">
        <v>39</v>
      </c>
      <c r="C70" t="s">
        <v>230</v>
      </c>
      <c r="D70">
        <v>1030813</v>
      </c>
      <c r="E70">
        <v>26</v>
      </c>
      <c r="F70" t="s">
        <v>18</v>
      </c>
      <c r="G70" t="s">
        <v>231</v>
      </c>
      <c r="I70">
        <v>3</v>
      </c>
      <c r="J70">
        <v>19</v>
      </c>
      <c r="K70" t="str">
        <f>IF(tbl_employee_master[[#This Row],[Exit Date]]="","Active","Exited")</f>
        <v>Active</v>
      </c>
      <c r="L70">
        <f ca="1">DATEDIF(tbl_employee_master[[#This Row],[Joining Date]],TODAY(),"Y")</f>
        <v>6</v>
      </c>
    </row>
    <row r="71" spans="1:12" x14ac:dyDescent="0.25">
      <c r="A71" t="s">
        <v>232</v>
      </c>
      <c r="B71" t="s">
        <v>16</v>
      </c>
      <c r="C71" t="s">
        <v>233</v>
      </c>
      <c r="D71">
        <v>632379</v>
      </c>
      <c r="E71">
        <v>25</v>
      </c>
      <c r="F71" t="s">
        <v>13</v>
      </c>
      <c r="G71" t="s">
        <v>234</v>
      </c>
      <c r="H71" t="s">
        <v>235</v>
      </c>
      <c r="I71">
        <v>3</v>
      </c>
      <c r="J71">
        <v>32</v>
      </c>
      <c r="K71" t="str">
        <f>IF(tbl_employee_master[[#This Row],[Exit Date]]="","Active","Exited")</f>
        <v>Exited</v>
      </c>
      <c r="L71">
        <f ca="1">DATEDIF(tbl_employee_master[[#This Row],[Joining Date]],TODAY(),"Y")</f>
        <v>5</v>
      </c>
    </row>
    <row r="72" spans="1:12" x14ac:dyDescent="0.25">
      <c r="A72" t="s">
        <v>236</v>
      </c>
      <c r="B72" t="s">
        <v>16</v>
      </c>
      <c r="C72" t="s">
        <v>237</v>
      </c>
      <c r="D72">
        <v>621466</v>
      </c>
      <c r="E72">
        <v>34</v>
      </c>
      <c r="F72" t="s">
        <v>18</v>
      </c>
      <c r="G72" t="s">
        <v>238</v>
      </c>
      <c r="I72">
        <v>5</v>
      </c>
      <c r="J72">
        <v>1</v>
      </c>
      <c r="K72" t="str">
        <f>IF(tbl_employee_master[[#This Row],[Exit Date]]="","Active","Exited")</f>
        <v>Active</v>
      </c>
      <c r="L72">
        <f ca="1">DATEDIF(tbl_employee_master[[#This Row],[Joining Date]],TODAY(),"Y")</f>
        <v>5</v>
      </c>
    </row>
    <row r="73" spans="1:12" x14ac:dyDescent="0.25">
      <c r="A73" t="s">
        <v>239</v>
      </c>
      <c r="B73" t="s">
        <v>32</v>
      </c>
      <c r="C73" t="s">
        <v>240</v>
      </c>
      <c r="D73">
        <v>747938</v>
      </c>
      <c r="E73">
        <v>41</v>
      </c>
      <c r="F73" t="s">
        <v>18</v>
      </c>
      <c r="G73" t="s">
        <v>241</v>
      </c>
      <c r="I73">
        <v>3</v>
      </c>
      <c r="J73">
        <v>36</v>
      </c>
      <c r="K73" t="str">
        <f>IF(tbl_employee_master[[#This Row],[Exit Date]]="","Active","Exited")</f>
        <v>Active</v>
      </c>
      <c r="L73">
        <f ca="1">DATEDIF(tbl_employee_master[[#This Row],[Joining Date]],TODAY(),"Y")</f>
        <v>2</v>
      </c>
    </row>
    <row r="74" spans="1:12" x14ac:dyDescent="0.25">
      <c r="A74" t="s">
        <v>242</v>
      </c>
      <c r="B74" t="s">
        <v>24</v>
      </c>
      <c r="C74" t="s">
        <v>243</v>
      </c>
      <c r="D74">
        <v>1490328</v>
      </c>
      <c r="E74">
        <v>36</v>
      </c>
      <c r="F74" t="s">
        <v>18</v>
      </c>
      <c r="G74" t="s">
        <v>244</v>
      </c>
      <c r="H74" t="s">
        <v>14</v>
      </c>
      <c r="I74">
        <v>4</v>
      </c>
      <c r="J74">
        <v>32</v>
      </c>
      <c r="K74" t="str">
        <f>IF(tbl_employee_master[[#This Row],[Exit Date]]="","Active","Exited")</f>
        <v>Exited</v>
      </c>
      <c r="L74">
        <f ca="1">DATEDIF(tbl_employee_master[[#This Row],[Joining Date]],TODAY(),"Y")</f>
        <v>3</v>
      </c>
    </row>
    <row r="75" spans="1:12" x14ac:dyDescent="0.25">
      <c r="A75" t="s">
        <v>245</v>
      </c>
      <c r="B75" t="s">
        <v>24</v>
      </c>
      <c r="C75" t="s">
        <v>246</v>
      </c>
      <c r="D75">
        <v>679700</v>
      </c>
      <c r="E75">
        <v>49</v>
      </c>
      <c r="F75" t="s">
        <v>13</v>
      </c>
      <c r="G75" t="s">
        <v>247</v>
      </c>
      <c r="I75">
        <v>4</v>
      </c>
      <c r="J75">
        <v>31</v>
      </c>
      <c r="K75" t="str">
        <f>IF(tbl_employee_master[[#This Row],[Exit Date]]="","Active","Exited")</f>
        <v>Active</v>
      </c>
      <c r="L75">
        <f ca="1">DATEDIF(tbl_employee_master[[#This Row],[Joining Date]],TODAY(),"Y")</f>
        <v>3</v>
      </c>
    </row>
    <row r="76" spans="1:12" x14ac:dyDescent="0.25">
      <c r="A76" t="s">
        <v>248</v>
      </c>
      <c r="B76" t="s">
        <v>16</v>
      </c>
      <c r="C76" t="s">
        <v>249</v>
      </c>
      <c r="D76">
        <v>1508941</v>
      </c>
      <c r="E76">
        <v>45</v>
      </c>
      <c r="F76" t="s">
        <v>18</v>
      </c>
      <c r="G76" t="s">
        <v>250</v>
      </c>
      <c r="I76">
        <v>5</v>
      </c>
      <c r="J76">
        <v>28</v>
      </c>
      <c r="K76" t="str">
        <f>IF(tbl_employee_master[[#This Row],[Exit Date]]="","Active","Exited")</f>
        <v>Active</v>
      </c>
      <c r="L76">
        <f ca="1">DATEDIF(tbl_employee_master[[#This Row],[Joining Date]],TODAY(),"Y")</f>
        <v>4</v>
      </c>
    </row>
    <row r="77" spans="1:12" x14ac:dyDescent="0.25">
      <c r="A77" t="s">
        <v>251</v>
      </c>
      <c r="B77" t="s">
        <v>28</v>
      </c>
      <c r="C77" t="s">
        <v>252</v>
      </c>
      <c r="D77">
        <v>1072686</v>
      </c>
      <c r="E77">
        <v>31</v>
      </c>
      <c r="F77" t="s">
        <v>18</v>
      </c>
      <c r="G77" t="s">
        <v>253</v>
      </c>
      <c r="I77">
        <v>1</v>
      </c>
      <c r="J77">
        <v>39</v>
      </c>
      <c r="K77" t="str">
        <f>IF(tbl_employee_master[[#This Row],[Exit Date]]="","Active","Exited")</f>
        <v>Active</v>
      </c>
      <c r="L77">
        <f ca="1">DATEDIF(tbl_employee_master[[#This Row],[Joining Date]],TODAY(),"Y")</f>
        <v>4</v>
      </c>
    </row>
    <row r="78" spans="1:12" x14ac:dyDescent="0.25">
      <c r="A78" t="s">
        <v>254</v>
      </c>
      <c r="B78" t="s">
        <v>39</v>
      </c>
      <c r="C78" t="s">
        <v>255</v>
      </c>
      <c r="D78">
        <v>1670540</v>
      </c>
      <c r="E78">
        <v>39</v>
      </c>
      <c r="F78" t="s">
        <v>13</v>
      </c>
      <c r="G78" t="s">
        <v>256</v>
      </c>
      <c r="I78">
        <v>3</v>
      </c>
      <c r="J78">
        <v>60</v>
      </c>
      <c r="K78" t="str">
        <f>IF(tbl_employee_master[[#This Row],[Exit Date]]="","Active","Exited")</f>
        <v>Active</v>
      </c>
      <c r="L78">
        <f ca="1">DATEDIF(tbl_employee_master[[#This Row],[Joining Date]],TODAY(),"Y")</f>
        <v>1</v>
      </c>
    </row>
    <row r="79" spans="1:12" x14ac:dyDescent="0.25">
      <c r="A79" t="s">
        <v>257</v>
      </c>
      <c r="B79" t="s">
        <v>24</v>
      </c>
      <c r="C79" t="s">
        <v>258</v>
      </c>
      <c r="D79">
        <v>1778448</v>
      </c>
      <c r="E79">
        <v>39</v>
      </c>
      <c r="F79" t="s">
        <v>13</v>
      </c>
      <c r="G79" t="s">
        <v>259</v>
      </c>
      <c r="I79">
        <v>3</v>
      </c>
      <c r="J79">
        <v>60</v>
      </c>
      <c r="K79" t="str">
        <f>IF(tbl_employee_master[[#This Row],[Exit Date]]="","Active","Exited")</f>
        <v>Active</v>
      </c>
      <c r="L79">
        <f ca="1">DATEDIF(tbl_employee_master[[#This Row],[Joining Date]],TODAY(),"Y")</f>
        <v>2</v>
      </c>
    </row>
    <row r="80" spans="1:12" x14ac:dyDescent="0.25">
      <c r="A80" t="s">
        <v>260</v>
      </c>
      <c r="B80" t="s">
        <v>59</v>
      </c>
      <c r="C80" t="s">
        <v>261</v>
      </c>
      <c r="D80">
        <v>578348</v>
      </c>
      <c r="E80">
        <v>30</v>
      </c>
      <c r="F80" t="s">
        <v>13</v>
      </c>
      <c r="G80" t="s">
        <v>262</v>
      </c>
      <c r="I80">
        <v>1</v>
      </c>
      <c r="J80">
        <v>17</v>
      </c>
      <c r="K80" t="str">
        <f>IF(tbl_employee_master[[#This Row],[Exit Date]]="","Active","Exited")</f>
        <v>Active</v>
      </c>
      <c r="L80">
        <f ca="1">DATEDIF(tbl_employee_master[[#This Row],[Joining Date]],TODAY(),"Y")</f>
        <v>3</v>
      </c>
    </row>
    <row r="81" spans="1:12" x14ac:dyDescent="0.25">
      <c r="A81" t="s">
        <v>263</v>
      </c>
      <c r="B81" t="s">
        <v>11</v>
      </c>
      <c r="C81" t="s">
        <v>264</v>
      </c>
      <c r="D81">
        <v>1170153</v>
      </c>
      <c r="E81">
        <v>28</v>
      </c>
      <c r="F81" t="s">
        <v>13</v>
      </c>
      <c r="G81" t="s">
        <v>265</v>
      </c>
      <c r="I81">
        <v>1</v>
      </c>
      <c r="J81">
        <v>51</v>
      </c>
      <c r="K81" t="str">
        <f>IF(tbl_employee_master[[#This Row],[Exit Date]]="","Active","Exited")</f>
        <v>Active</v>
      </c>
      <c r="L81">
        <f ca="1">DATEDIF(tbl_employee_master[[#This Row],[Joining Date]],TODAY(),"Y")</f>
        <v>1</v>
      </c>
    </row>
    <row r="82" spans="1:12" x14ac:dyDescent="0.25">
      <c r="A82" t="s">
        <v>266</v>
      </c>
      <c r="B82" t="s">
        <v>28</v>
      </c>
      <c r="C82" t="s">
        <v>267</v>
      </c>
      <c r="D82">
        <v>1357912</v>
      </c>
      <c r="E82">
        <v>38</v>
      </c>
      <c r="F82" t="s">
        <v>13</v>
      </c>
      <c r="G82" t="s">
        <v>268</v>
      </c>
      <c r="I82">
        <v>2</v>
      </c>
      <c r="J82">
        <v>42</v>
      </c>
      <c r="K82" t="str">
        <f>IF(tbl_employee_master[[#This Row],[Exit Date]]="","Active","Exited")</f>
        <v>Active</v>
      </c>
      <c r="L82">
        <f ca="1">DATEDIF(tbl_employee_master[[#This Row],[Joining Date]],TODAY(),"Y")</f>
        <v>6</v>
      </c>
    </row>
    <row r="83" spans="1:12" x14ac:dyDescent="0.25">
      <c r="A83" t="s">
        <v>269</v>
      </c>
      <c r="B83" t="s">
        <v>28</v>
      </c>
      <c r="C83" t="s">
        <v>270</v>
      </c>
      <c r="D83">
        <v>561660</v>
      </c>
      <c r="E83">
        <v>28</v>
      </c>
      <c r="F83" t="s">
        <v>13</v>
      </c>
      <c r="G83" t="s">
        <v>271</v>
      </c>
      <c r="H83" t="s">
        <v>272</v>
      </c>
      <c r="I83">
        <v>4</v>
      </c>
      <c r="J83">
        <v>31</v>
      </c>
      <c r="K83" t="str">
        <f>IF(tbl_employee_master[[#This Row],[Exit Date]]="","Active","Exited")</f>
        <v>Exited</v>
      </c>
      <c r="L83">
        <f ca="1">DATEDIF(tbl_employee_master[[#This Row],[Joining Date]],TODAY(),"Y")</f>
        <v>4</v>
      </c>
    </row>
    <row r="84" spans="1:12" x14ac:dyDescent="0.25">
      <c r="A84" t="s">
        <v>273</v>
      </c>
      <c r="B84" t="s">
        <v>59</v>
      </c>
      <c r="C84" t="s">
        <v>274</v>
      </c>
      <c r="D84">
        <v>506651</v>
      </c>
      <c r="E84">
        <v>32</v>
      </c>
      <c r="F84" t="s">
        <v>18</v>
      </c>
      <c r="G84" t="s">
        <v>275</v>
      </c>
      <c r="I84">
        <v>5</v>
      </c>
      <c r="J84">
        <v>19</v>
      </c>
      <c r="K84" t="str">
        <f>IF(tbl_employee_master[[#This Row],[Exit Date]]="","Active","Exited")</f>
        <v>Active</v>
      </c>
      <c r="L84">
        <f ca="1">DATEDIF(tbl_employee_master[[#This Row],[Joining Date]],TODAY(),"Y")</f>
        <v>2</v>
      </c>
    </row>
    <row r="85" spans="1:12" x14ac:dyDescent="0.25">
      <c r="A85" t="s">
        <v>276</v>
      </c>
      <c r="B85" t="s">
        <v>32</v>
      </c>
      <c r="C85" t="s">
        <v>277</v>
      </c>
      <c r="D85">
        <v>1324777</v>
      </c>
      <c r="E85">
        <v>28</v>
      </c>
      <c r="F85" t="s">
        <v>13</v>
      </c>
      <c r="G85" t="s">
        <v>278</v>
      </c>
      <c r="I85">
        <v>3</v>
      </c>
      <c r="J85">
        <v>44</v>
      </c>
      <c r="K85" t="str">
        <f>IF(tbl_employee_master[[#This Row],[Exit Date]]="","Active","Exited")</f>
        <v>Active</v>
      </c>
      <c r="L85">
        <f ca="1">DATEDIF(tbl_employee_master[[#This Row],[Joining Date]],TODAY(),"Y")</f>
        <v>4</v>
      </c>
    </row>
    <row r="86" spans="1:12" x14ac:dyDescent="0.25">
      <c r="A86" t="s">
        <v>279</v>
      </c>
      <c r="B86" t="s">
        <v>59</v>
      </c>
      <c r="C86" t="s">
        <v>63</v>
      </c>
      <c r="D86">
        <v>840223</v>
      </c>
      <c r="E86">
        <v>44</v>
      </c>
      <c r="F86" t="s">
        <v>18</v>
      </c>
      <c r="G86" t="s">
        <v>280</v>
      </c>
      <c r="I86">
        <v>3</v>
      </c>
      <c r="J86">
        <v>51</v>
      </c>
      <c r="K86" t="str">
        <f>IF(tbl_employee_master[[#This Row],[Exit Date]]="","Active","Exited")</f>
        <v>Active</v>
      </c>
      <c r="L86">
        <f ca="1">DATEDIF(tbl_employee_master[[#This Row],[Joining Date]],TODAY(),"Y")</f>
        <v>6</v>
      </c>
    </row>
    <row r="87" spans="1:12" x14ac:dyDescent="0.25">
      <c r="A87" t="s">
        <v>281</v>
      </c>
      <c r="B87" t="s">
        <v>24</v>
      </c>
      <c r="C87" t="s">
        <v>282</v>
      </c>
      <c r="D87">
        <v>1590495</v>
      </c>
      <c r="E87">
        <v>34</v>
      </c>
      <c r="F87" t="s">
        <v>18</v>
      </c>
      <c r="G87" t="s">
        <v>283</v>
      </c>
      <c r="I87">
        <v>4</v>
      </c>
      <c r="J87">
        <v>28</v>
      </c>
      <c r="K87" t="str">
        <f>IF(tbl_employee_master[[#This Row],[Exit Date]]="","Active","Exited")</f>
        <v>Active</v>
      </c>
      <c r="L87">
        <f ca="1">DATEDIF(tbl_employee_master[[#This Row],[Joining Date]],TODAY(),"Y")</f>
        <v>5</v>
      </c>
    </row>
    <row r="88" spans="1:12" x14ac:dyDescent="0.25">
      <c r="A88" t="s">
        <v>284</v>
      </c>
      <c r="B88" t="s">
        <v>59</v>
      </c>
      <c r="C88" t="s">
        <v>285</v>
      </c>
      <c r="D88">
        <v>1791554</v>
      </c>
      <c r="E88">
        <v>33</v>
      </c>
      <c r="F88" t="s">
        <v>13</v>
      </c>
      <c r="G88" t="s">
        <v>286</v>
      </c>
      <c r="I88">
        <v>3</v>
      </c>
      <c r="J88">
        <v>41</v>
      </c>
      <c r="K88" t="str">
        <f>IF(tbl_employee_master[[#This Row],[Exit Date]]="","Active","Exited")</f>
        <v>Active</v>
      </c>
      <c r="L88">
        <f ca="1">DATEDIF(tbl_employee_master[[#This Row],[Joining Date]],TODAY(),"Y")</f>
        <v>5</v>
      </c>
    </row>
    <row r="89" spans="1:12" x14ac:dyDescent="0.25">
      <c r="A89" t="s">
        <v>287</v>
      </c>
      <c r="B89" t="s">
        <v>32</v>
      </c>
      <c r="C89" t="s">
        <v>288</v>
      </c>
      <c r="D89">
        <v>833052</v>
      </c>
      <c r="E89">
        <v>31</v>
      </c>
      <c r="F89" t="s">
        <v>18</v>
      </c>
      <c r="G89" t="s">
        <v>289</v>
      </c>
      <c r="I89">
        <v>2</v>
      </c>
      <c r="J89">
        <v>27</v>
      </c>
      <c r="K89" t="str">
        <f>IF(tbl_employee_master[[#This Row],[Exit Date]]="","Active","Exited")</f>
        <v>Active</v>
      </c>
      <c r="L89">
        <f ca="1">DATEDIF(tbl_employee_master[[#This Row],[Joining Date]],TODAY(),"Y")</f>
        <v>4</v>
      </c>
    </row>
    <row r="90" spans="1:12" x14ac:dyDescent="0.25">
      <c r="A90" t="s">
        <v>290</v>
      </c>
      <c r="B90" t="s">
        <v>59</v>
      </c>
      <c r="C90" t="s">
        <v>291</v>
      </c>
      <c r="D90">
        <v>606385</v>
      </c>
      <c r="E90">
        <v>36</v>
      </c>
      <c r="F90" t="s">
        <v>18</v>
      </c>
      <c r="G90" t="s">
        <v>292</v>
      </c>
      <c r="I90">
        <v>1</v>
      </c>
      <c r="J90">
        <v>30</v>
      </c>
      <c r="K90" t="str">
        <f>IF(tbl_employee_master[[#This Row],[Exit Date]]="","Active","Exited")</f>
        <v>Active</v>
      </c>
      <c r="L90">
        <f ca="1">DATEDIF(tbl_employee_master[[#This Row],[Joining Date]],TODAY(),"Y")</f>
        <v>4</v>
      </c>
    </row>
    <row r="91" spans="1:12" x14ac:dyDescent="0.25">
      <c r="A91" t="s">
        <v>293</v>
      </c>
      <c r="B91" t="s">
        <v>32</v>
      </c>
      <c r="C91" t="s">
        <v>294</v>
      </c>
      <c r="D91">
        <v>1493889</v>
      </c>
      <c r="E91">
        <v>40</v>
      </c>
      <c r="F91" t="s">
        <v>18</v>
      </c>
      <c r="G91" t="s">
        <v>295</v>
      </c>
      <c r="I91">
        <v>5</v>
      </c>
      <c r="J91">
        <v>18</v>
      </c>
      <c r="K91" t="str">
        <f>IF(tbl_employee_master[[#This Row],[Exit Date]]="","Active","Exited")</f>
        <v>Active</v>
      </c>
      <c r="L91">
        <f ca="1">DATEDIF(tbl_employee_master[[#This Row],[Joining Date]],TODAY(),"Y")</f>
        <v>0</v>
      </c>
    </row>
    <row r="92" spans="1:12" x14ac:dyDescent="0.25">
      <c r="A92" t="s">
        <v>296</v>
      </c>
      <c r="B92" t="s">
        <v>28</v>
      </c>
      <c r="C92" t="s">
        <v>297</v>
      </c>
      <c r="D92">
        <v>900232</v>
      </c>
      <c r="E92">
        <v>38</v>
      </c>
      <c r="F92" t="s">
        <v>13</v>
      </c>
      <c r="G92" t="s">
        <v>298</v>
      </c>
      <c r="H92" t="s">
        <v>299</v>
      </c>
      <c r="I92">
        <v>2</v>
      </c>
      <c r="J92">
        <v>24</v>
      </c>
      <c r="K92" t="str">
        <f>IF(tbl_employee_master[[#This Row],[Exit Date]]="","Active","Exited")</f>
        <v>Exited</v>
      </c>
      <c r="L92">
        <f ca="1">DATEDIF(tbl_employee_master[[#This Row],[Joining Date]],TODAY(),"Y")</f>
        <v>5</v>
      </c>
    </row>
    <row r="93" spans="1:12" x14ac:dyDescent="0.25">
      <c r="A93" t="s">
        <v>300</v>
      </c>
      <c r="B93" t="s">
        <v>16</v>
      </c>
      <c r="C93" t="s">
        <v>301</v>
      </c>
      <c r="D93">
        <v>1161239</v>
      </c>
      <c r="E93">
        <v>46</v>
      </c>
      <c r="F93" t="s">
        <v>18</v>
      </c>
      <c r="G93" t="s">
        <v>302</v>
      </c>
      <c r="H93" t="s">
        <v>48</v>
      </c>
      <c r="I93">
        <v>1</v>
      </c>
      <c r="J93">
        <v>24</v>
      </c>
      <c r="K93" t="str">
        <f>IF(tbl_employee_master[[#This Row],[Exit Date]]="","Active","Exited")</f>
        <v>Exited</v>
      </c>
      <c r="L93">
        <f ca="1">DATEDIF(tbl_employee_master[[#This Row],[Joining Date]],TODAY(),"Y")</f>
        <v>0</v>
      </c>
    </row>
    <row r="94" spans="1:12" x14ac:dyDescent="0.25">
      <c r="A94" t="s">
        <v>303</v>
      </c>
      <c r="B94" t="s">
        <v>24</v>
      </c>
      <c r="C94" t="s">
        <v>304</v>
      </c>
      <c r="D94">
        <v>1577562</v>
      </c>
      <c r="E94">
        <v>23</v>
      </c>
      <c r="F94" t="s">
        <v>18</v>
      </c>
      <c r="G94" t="s">
        <v>305</v>
      </c>
      <c r="H94" t="s">
        <v>306</v>
      </c>
      <c r="I94">
        <v>2</v>
      </c>
      <c r="J94">
        <v>6</v>
      </c>
      <c r="K94" t="str">
        <f>IF(tbl_employee_master[[#This Row],[Exit Date]]="","Active","Exited")</f>
        <v>Exited</v>
      </c>
      <c r="L94">
        <f ca="1">DATEDIF(tbl_employee_master[[#This Row],[Joining Date]],TODAY(),"Y")</f>
        <v>5</v>
      </c>
    </row>
    <row r="95" spans="1:12" x14ac:dyDescent="0.25">
      <c r="A95" t="s">
        <v>307</v>
      </c>
      <c r="B95" t="s">
        <v>11</v>
      </c>
      <c r="C95" t="s">
        <v>249</v>
      </c>
      <c r="D95">
        <v>1255423</v>
      </c>
      <c r="E95">
        <v>25</v>
      </c>
      <c r="F95" t="s">
        <v>18</v>
      </c>
      <c r="G95" t="s">
        <v>292</v>
      </c>
      <c r="I95">
        <v>1</v>
      </c>
      <c r="J95">
        <v>46</v>
      </c>
      <c r="K95" t="str">
        <f>IF(tbl_employee_master[[#This Row],[Exit Date]]="","Active","Exited")</f>
        <v>Active</v>
      </c>
      <c r="L95">
        <f ca="1">DATEDIF(tbl_employee_master[[#This Row],[Joining Date]],TODAY(),"Y")</f>
        <v>4</v>
      </c>
    </row>
    <row r="96" spans="1:12" x14ac:dyDescent="0.25">
      <c r="A96" t="s">
        <v>308</v>
      </c>
      <c r="B96" t="s">
        <v>24</v>
      </c>
      <c r="C96" t="s">
        <v>309</v>
      </c>
      <c r="D96">
        <v>638505</v>
      </c>
      <c r="E96">
        <v>22</v>
      </c>
      <c r="F96" t="s">
        <v>18</v>
      </c>
      <c r="G96" t="s">
        <v>310</v>
      </c>
      <c r="H96" t="s">
        <v>311</v>
      </c>
      <c r="I96">
        <v>3</v>
      </c>
      <c r="J96">
        <v>30</v>
      </c>
      <c r="K96" t="str">
        <f>IF(tbl_employee_master[[#This Row],[Exit Date]]="","Active","Exited")</f>
        <v>Exited</v>
      </c>
      <c r="L96">
        <f ca="1">DATEDIF(tbl_employee_master[[#This Row],[Joining Date]],TODAY(),"Y")</f>
        <v>5</v>
      </c>
    </row>
    <row r="97" spans="1:12" x14ac:dyDescent="0.25">
      <c r="A97" t="s">
        <v>312</v>
      </c>
      <c r="B97" t="s">
        <v>32</v>
      </c>
      <c r="C97" t="s">
        <v>225</v>
      </c>
      <c r="D97">
        <v>1160508</v>
      </c>
      <c r="E97">
        <v>45</v>
      </c>
      <c r="F97" t="s">
        <v>13</v>
      </c>
      <c r="G97" t="s">
        <v>313</v>
      </c>
      <c r="I97">
        <v>4</v>
      </c>
      <c r="J97">
        <v>35</v>
      </c>
      <c r="K97" t="str">
        <f>IF(tbl_employee_master[[#This Row],[Exit Date]]="","Active","Exited")</f>
        <v>Active</v>
      </c>
      <c r="L97">
        <f ca="1">DATEDIF(tbl_employee_master[[#This Row],[Joining Date]],TODAY(),"Y")</f>
        <v>4</v>
      </c>
    </row>
    <row r="98" spans="1:12" x14ac:dyDescent="0.25">
      <c r="A98" t="s">
        <v>314</v>
      </c>
      <c r="B98" t="s">
        <v>11</v>
      </c>
      <c r="C98" t="s">
        <v>315</v>
      </c>
      <c r="D98">
        <v>1242886</v>
      </c>
      <c r="E98">
        <v>28</v>
      </c>
      <c r="F98" t="s">
        <v>13</v>
      </c>
      <c r="G98" t="s">
        <v>142</v>
      </c>
      <c r="H98" t="s">
        <v>134</v>
      </c>
      <c r="I98">
        <v>5</v>
      </c>
      <c r="J98">
        <v>19</v>
      </c>
      <c r="K98" t="str">
        <f>IF(tbl_employee_master[[#This Row],[Exit Date]]="","Active","Exited")</f>
        <v>Exited</v>
      </c>
      <c r="L98">
        <f ca="1">DATEDIF(tbl_employee_master[[#This Row],[Joining Date]],TODAY(),"Y")</f>
        <v>4</v>
      </c>
    </row>
    <row r="99" spans="1:12" x14ac:dyDescent="0.25">
      <c r="A99" t="s">
        <v>316</v>
      </c>
      <c r="B99" t="s">
        <v>28</v>
      </c>
      <c r="C99" t="s">
        <v>83</v>
      </c>
      <c r="D99">
        <v>1664050</v>
      </c>
      <c r="E99">
        <v>48</v>
      </c>
      <c r="F99" t="s">
        <v>18</v>
      </c>
      <c r="G99" t="s">
        <v>317</v>
      </c>
      <c r="H99" t="s">
        <v>48</v>
      </c>
      <c r="I99">
        <v>2</v>
      </c>
      <c r="J99">
        <v>6</v>
      </c>
      <c r="K99" t="str">
        <f>IF(tbl_employee_master[[#This Row],[Exit Date]]="","Active","Exited")</f>
        <v>Exited</v>
      </c>
      <c r="L99">
        <f ca="1">DATEDIF(tbl_employee_master[[#This Row],[Joining Date]],TODAY(),"Y")</f>
        <v>2</v>
      </c>
    </row>
    <row r="100" spans="1:12" x14ac:dyDescent="0.25">
      <c r="A100" t="s">
        <v>318</v>
      </c>
      <c r="B100" t="s">
        <v>39</v>
      </c>
      <c r="C100" t="s">
        <v>319</v>
      </c>
      <c r="D100">
        <v>996575</v>
      </c>
      <c r="E100">
        <v>24</v>
      </c>
      <c r="F100" t="s">
        <v>13</v>
      </c>
      <c r="G100" t="s">
        <v>320</v>
      </c>
      <c r="I100">
        <v>3</v>
      </c>
      <c r="J100">
        <v>59</v>
      </c>
      <c r="K100" t="str">
        <f>IF(tbl_employee_master[[#This Row],[Exit Date]]="","Active","Exited")</f>
        <v>Active</v>
      </c>
      <c r="L100">
        <f ca="1">DATEDIF(tbl_employee_master[[#This Row],[Joining Date]],TODAY(),"Y")</f>
        <v>1</v>
      </c>
    </row>
    <row r="101" spans="1:12" x14ac:dyDescent="0.25">
      <c r="A101" t="s">
        <v>321</v>
      </c>
      <c r="B101" t="s">
        <v>59</v>
      </c>
      <c r="C101" t="s">
        <v>322</v>
      </c>
      <c r="D101">
        <v>1094529</v>
      </c>
      <c r="E101">
        <v>43</v>
      </c>
      <c r="F101" t="s">
        <v>13</v>
      </c>
      <c r="G101" t="s">
        <v>323</v>
      </c>
      <c r="I101">
        <v>4</v>
      </c>
      <c r="J101">
        <v>41</v>
      </c>
      <c r="K101" t="str">
        <f>IF(tbl_employee_master[[#This Row],[Exit Date]]="","Active","Exited")</f>
        <v>Active</v>
      </c>
      <c r="L101">
        <f ca="1">DATEDIF(tbl_employee_master[[#This Row],[Joining Date]],TODAY(),"Y")</f>
        <v>3</v>
      </c>
    </row>
    <row r="102" spans="1:12" x14ac:dyDescent="0.25">
      <c r="A102" t="s">
        <v>324</v>
      </c>
      <c r="B102" t="s">
        <v>11</v>
      </c>
      <c r="C102" t="s">
        <v>325</v>
      </c>
      <c r="D102">
        <v>1599936</v>
      </c>
      <c r="E102">
        <v>48</v>
      </c>
      <c r="F102" t="s">
        <v>13</v>
      </c>
      <c r="G102" t="s">
        <v>168</v>
      </c>
      <c r="I102">
        <v>2</v>
      </c>
      <c r="J102">
        <v>31</v>
      </c>
      <c r="K102" t="str">
        <f>IF(tbl_employee_master[[#This Row],[Exit Date]]="","Active","Exited")</f>
        <v>Active</v>
      </c>
      <c r="L102">
        <f ca="1">DATEDIF(tbl_employee_master[[#This Row],[Joining Date]],TODAY(),"Y")</f>
        <v>1</v>
      </c>
    </row>
    <row r="103" spans="1:12" x14ac:dyDescent="0.25">
      <c r="A103" t="s">
        <v>326</v>
      </c>
      <c r="B103" t="s">
        <v>16</v>
      </c>
      <c r="C103" t="s">
        <v>327</v>
      </c>
      <c r="D103">
        <v>792810</v>
      </c>
      <c r="E103">
        <v>24</v>
      </c>
      <c r="F103" t="s">
        <v>13</v>
      </c>
      <c r="G103" t="s">
        <v>328</v>
      </c>
      <c r="I103">
        <v>4</v>
      </c>
      <c r="J103">
        <v>28</v>
      </c>
      <c r="K103" t="str">
        <f>IF(tbl_employee_master[[#This Row],[Exit Date]]="","Active","Exited")</f>
        <v>Active</v>
      </c>
      <c r="L103">
        <f ca="1">DATEDIF(tbl_employee_master[[#This Row],[Joining Date]],TODAY(),"Y")</f>
        <v>1</v>
      </c>
    </row>
    <row r="104" spans="1:12" x14ac:dyDescent="0.25">
      <c r="A104" t="s">
        <v>329</v>
      </c>
      <c r="B104" t="s">
        <v>32</v>
      </c>
      <c r="C104" t="s">
        <v>330</v>
      </c>
      <c r="D104">
        <v>359566</v>
      </c>
      <c r="E104">
        <v>26</v>
      </c>
      <c r="F104" t="s">
        <v>18</v>
      </c>
      <c r="G104" t="s">
        <v>331</v>
      </c>
      <c r="I104">
        <v>5</v>
      </c>
      <c r="J104">
        <v>46</v>
      </c>
      <c r="K104" t="str">
        <f>IF(tbl_employee_master[[#This Row],[Exit Date]]="","Active","Exited")</f>
        <v>Active</v>
      </c>
      <c r="L104">
        <f ca="1">DATEDIF(tbl_employee_master[[#This Row],[Joining Date]],TODAY(),"Y")</f>
        <v>5</v>
      </c>
    </row>
    <row r="105" spans="1:12" x14ac:dyDescent="0.25">
      <c r="A105" t="s">
        <v>332</v>
      </c>
      <c r="B105" t="s">
        <v>11</v>
      </c>
      <c r="C105" t="s">
        <v>333</v>
      </c>
      <c r="D105">
        <v>1762541</v>
      </c>
      <c r="E105">
        <v>50</v>
      </c>
      <c r="F105" t="s">
        <v>13</v>
      </c>
      <c r="G105" t="s">
        <v>334</v>
      </c>
      <c r="I105">
        <v>4</v>
      </c>
      <c r="J105">
        <v>30</v>
      </c>
      <c r="K105" t="str">
        <f>IF(tbl_employee_master[[#This Row],[Exit Date]]="","Active","Exited")</f>
        <v>Active</v>
      </c>
      <c r="L105">
        <f ca="1">DATEDIF(tbl_employee_master[[#This Row],[Joining Date]],TODAY(),"Y")</f>
        <v>2</v>
      </c>
    </row>
    <row r="106" spans="1:12" x14ac:dyDescent="0.25">
      <c r="A106" t="s">
        <v>335</v>
      </c>
      <c r="B106" t="s">
        <v>24</v>
      </c>
      <c r="C106" t="s">
        <v>336</v>
      </c>
      <c r="D106">
        <v>920413</v>
      </c>
      <c r="E106">
        <v>31</v>
      </c>
      <c r="F106" t="s">
        <v>13</v>
      </c>
      <c r="G106" t="s">
        <v>337</v>
      </c>
      <c r="I106">
        <v>5</v>
      </c>
      <c r="J106">
        <v>7</v>
      </c>
      <c r="K106" t="str">
        <f>IF(tbl_employee_master[[#This Row],[Exit Date]]="","Active","Exited")</f>
        <v>Active</v>
      </c>
      <c r="L106">
        <f ca="1">DATEDIF(tbl_employee_master[[#This Row],[Joining Date]],TODAY(),"Y")</f>
        <v>4</v>
      </c>
    </row>
    <row r="107" spans="1:12" x14ac:dyDescent="0.25">
      <c r="A107" t="s">
        <v>338</v>
      </c>
      <c r="B107" t="s">
        <v>16</v>
      </c>
      <c r="C107" t="s">
        <v>339</v>
      </c>
      <c r="D107">
        <v>1242758</v>
      </c>
      <c r="E107">
        <v>49</v>
      </c>
      <c r="F107" t="s">
        <v>18</v>
      </c>
      <c r="G107" t="s">
        <v>340</v>
      </c>
      <c r="I107">
        <v>3</v>
      </c>
      <c r="J107">
        <v>51</v>
      </c>
      <c r="K107" t="str">
        <f>IF(tbl_employee_master[[#This Row],[Exit Date]]="","Active","Exited")</f>
        <v>Active</v>
      </c>
      <c r="L107">
        <f ca="1">DATEDIF(tbl_employee_master[[#This Row],[Joining Date]],TODAY(),"Y")</f>
        <v>5</v>
      </c>
    </row>
    <row r="108" spans="1:12" x14ac:dyDescent="0.25">
      <c r="A108" t="s">
        <v>341</v>
      </c>
      <c r="B108" t="s">
        <v>28</v>
      </c>
      <c r="C108" t="s">
        <v>342</v>
      </c>
      <c r="D108">
        <v>1714201</v>
      </c>
      <c r="E108">
        <v>35</v>
      </c>
      <c r="F108" t="s">
        <v>18</v>
      </c>
      <c r="G108" t="s">
        <v>343</v>
      </c>
      <c r="I108">
        <v>2</v>
      </c>
      <c r="J108">
        <v>60</v>
      </c>
      <c r="K108" t="str">
        <f>IF(tbl_employee_master[[#This Row],[Exit Date]]="","Active","Exited")</f>
        <v>Active</v>
      </c>
      <c r="L108">
        <f ca="1">DATEDIF(tbl_employee_master[[#This Row],[Joining Date]],TODAY(),"Y")</f>
        <v>5</v>
      </c>
    </row>
    <row r="109" spans="1:12" x14ac:dyDescent="0.25">
      <c r="A109" t="s">
        <v>344</v>
      </c>
      <c r="B109" t="s">
        <v>16</v>
      </c>
      <c r="C109" t="s">
        <v>345</v>
      </c>
      <c r="D109">
        <v>961139</v>
      </c>
      <c r="E109">
        <v>44</v>
      </c>
      <c r="F109" t="s">
        <v>18</v>
      </c>
      <c r="G109" t="s">
        <v>346</v>
      </c>
      <c r="I109">
        <v>1</v>
      </c>
      <c r="J109">
        <v>11</v>
      </c>
      <c r="K109" t="str">
        <f>IF(tbl_employee_master[[#This Row],[Exit Date]]="","Active","Exited")</f>
        <v>Active</v>
      </c>
      <c r="L109">
        <f ca="1">DATEDIF(tbl_employee_master[[#This Row],[Joining Date]],TODAY(),"Y")</f>
        <v>4</v>
      </c>
    </row>
    <row r="110" spans="1:12" x14ac:dyDescent="0.25">
      <c r="A110" t="s">
        <v>347</v>
      </c>
      <c r="B110" t="s">
        <v>16</v>
      </c>
      <c r="C110" t="s">
        <v>348</v>
      </c>
      <c r="D110">
        <v>469984</v>
      </c>
      <c r="E110">
        <v>41</v>
      </c>
      <c r="F110" t="s">
        <v>13</v>
      </c>
      <c r="G110" t="s">
        <v>349</v>
      </c>
      <c r="I110">
        <v>4</v>
      </c>
      <c r="J110">
        <v>28</v>
      </c>
      <c r="K110" t="str">
        <f>IF(tbl_employee_master[[#This Row],[Exit Date]]="","Active","Exited")</f>
        <v>Active</v>
      </c>
      <c r="L110">
        <f ca="1">DATEDIF(tbl_employee_master[[#This Row],[Joining Date]],TODAY(),"Y")</f>
        <v>5</v>
      </c>
    </row>
    <row r="111" spans="1:12" x14ac:dyDescent="0.25">
      <c r="A111" t="s">
        <v>350</v>
      </c>
      <c r="B111" t="s">
        <v>16</v>
      </c>
      <c r="C111" t="s">
        <v>351</v>
      </c>
      <c r="D111">
        <v>923124</v>
      </c>
      <c r="E111">
        <v>26</v>
      </c>
      <c r="F111" t="s">
        <v>18</v>
      </c>
      <c r="G111" t="s">
        <v>352</v>
      </c>
      <c r="I111">
        <v>1</v>
      </c>
      <c r="J111">
        <v>6</v>
      </c>
      <c r="K111" t="str">
        <f>IF(tbl_employee_master[[#This Row],[Exit Date]]="","Active","Exited")</f>
        <v>Active</v>
      </c>
      <c r="L111">
        <f ca="1">DATEDIF(tbl_employee_master[[#This Row],[Joining Date]],TODAY(),"Y")</f>
        <v>3</v>
      </c>
    </row>
    <row r="112" spans="1:12" x14ac:dyDescent="0.25">
      <c r="A112" t="s">
        <v>353</v>
      </c>
      <c r="B112" t="s">
        <v>28</v>
      </c>
      <c r="C112" t="s">
        <v>354</v>
      </c>
      <c r="D112">
        <v>1668414</v>
      </c>
      <c r="E112">
        <v>46</v>
      </c>
      <c r="F112" t="s">
        <v>18</v>
      </c>
      <c r="G112" t="s">
        <v>355</v>
      </c>
      <c r="I112">
        <v>2</v>
      </c>
      <c r="J112">
        <v>11</v>
      </c>
      <c r="K112" t="str">
        <f>IF(tbl_employee_master[[#This Row],[Exit Date]]="","Active","Exited")</f>
        <v>Active</v>
      </c>
      <c r="L112">
        <f ca="1">DATEDIF(tbl_employee_master[[#This Row],[Joining Date]],TODAY(),"Y")</f>
        <v>2</v>
      </c>
    </row>
    <row r="113" spans="1:12" x14ac:dyDescent="0.25">
      <c r="A113" t="s">
        <v>356</v>
      </c>
      <c r="B113" t="s">
        <v>28</v>
      </c>
      <c r="C113" t="s">
        <v>357</v>
      </c>
      <c r="D113">
        <v>1491003</v>
      </c>
      <c r="E113">
        <v>49</v>
      </c>
      <c r="F113" t="s">
        <v>13</v>
      </c>
      <c r="G113" t="s">
        <v>358</v>
      </c>
      <c r="I113">
        <v>2</v>
      </c>
      <c r="J113">
        <v>28</v>
      </c>
      <c r="K113" t="str">
        <f>IF(tbl_employee_master[[#This Row],[Exit Date]]="","Active","Exited")</f>
        <v>Active</v>
      </c>
      <c r="L113">
        <f ca="1">DATEDIF(tbl_employee_master[[#This Row],[Joining Date]],TODAY(),"Y")</f>
        <v>5</v>
      </c>
    </row>
    <row r="114" spans="1:12" x14ac:dyDescent="0.25">
      <c r="A114" t="s">
        <v>359</v>
      </c>
      <c r="B114" t="s">
        <v>28</v>
      </c>
      <c r="C114" t="s">
        <v>360</v>
      </c>
      <c r="D114">
        <v>1665919</v>
      </c>
      <c r="E114">
        <v>33</v>
      </c>
      <c r="F114" t="s">
        <v>18</v>
      </c>
      <c r="G114" t="s">
        <v>361</v>
      </c>
      <c r="I114">
        <v>1</v>
      </c>
      <c r="J114">
        <v>54</v>
      </c>
      <c r="K114" t="str">
        <f>IF(tbl_employee_master[[#This Row],[Exit Date]]="","Active","Exited")</f>
        <v>Active</v>
      </c>
      <c r="L114">
        <f ca="1">DATEDIF(tbl_employee_master[[#This Row],[Joining Date]],TODAY(),"Y")</f>
        <v>2</v>
      </c>
    </row>
    <row r="115" spans="1:12" x14ac:dyDescent="0.25">
      <c r="A115" t="s">
        <v>362</v>
      </c>
      <c r="B115" t="s">
        <v>11</v>
      </c>
      <c r="C115" t="s">
        <v>363</v>
      </c>
      <c r="D115">
        <v>1665259</v>
      </c>
      <c r="E115">
        <v>43</v>
      </c>
      <c r="F115" t="s">
        <v>18</v>
      </c>
      <c r="G115" t="s">
        <v>364</v>
      </c>
      <c r="I115">
        <v>5</v>
      </c>
      <c r="J115">
        <v>22</v>
      </c>
      <c r="K115" t="str">
        <f>IF(tbl_employee_master[[#This Row],[Exit Date]]="","Active","Exited")</f>
        <v>Active</v>
      </c>
      <c r="L115">
        <f ca="1">DATEDIF(tbl_employee_master[[#This Row],[Joining Date]],TODAY(),"Y")</f>
        <v>5</v>
      </c>
    </row>
    <row r="116" spans="1:12" x14ac:dyDescent="0.25">
      <c r="A116" t="s">
        <v>365</v>
      </c>
      <c r="B116" t="s">
        <v>39</v>
      </c>
      <c r="C116" t="s">
        <v>366</v>
      </c>
      <c r="D116">
        <v>630225</v>
      </c>
      <c r="E116">
        <v>41</v>
      </c>
      <c r="F116" t="s">
        <v>18</v>
      </c>
      <c r="G116" t="s">
        <v>367</v>
      </c>
      <c r="I116">
        <v>5</v>
      </c>
      <c r="J116">
        <v>22</v>
      </c>
      <c r="K116" t="str">
        <f>IF(tbl_employee_master[[#This Row],[Exit Date]]="","Active","Exited")</f>
        <v>Active</v>
      </c>
      <c r="L116">
        <f ca="1">DATEDIF(tbl_employee_master[[#This Row],[Joining Date]],TODAY(),"Y")</f>
        <v>2</v>
      </c>
    </row>
    <row r="117" spans="1:12" x14ac:dyDescent="0.25">
      <c r="A117" t="s">
        <v>368</v>
      </c>
      <c r="B117" t="s">
        <v>24</v>
      </c>
      <c r="C117" t="s">
        <v>369</v>
      </c>
      <c r="D117">
        <v>964463</v>
      </c>
      <c r="E117">
        <v>25</v>
      </c>
      <c r="F117" t="s">
        <v>13</v>
      </c>
      <c r="G117" t="s">
        <v>370</v>
      </c>
      <c r="I117">
        <v>3</v>
      </c>
      <c r="J117">
        <v>24</v>
      </c>
      <c r="K117" t="str">
        <f>IF(tbl_employee_master[[#This Row],[Exit Date]]="","Active","Exited")</f>
        <v>Active</v>
      </c>
      <c r="L117">
        <f ca="1">DATEDIF(tbl_employee_master[[#This Row],[Joining Date]],TODAY(),"Y")</f>
        <v>6</v>
      </c>
    </row>
    <row r="118" spans="1:12" x14ac:dyDescent="0.25">
      <c r="A118" t="s">
        <v>371</v>
      </c>
      <c r="B118" t="s">
        <v>28</v>
      </c>
      <c r="C118" t="s">
        <v>372</v>
      </c>
      <c r="D118">
        <v>995110</v>
      </c>
      <c r="E118">
        <v>50</v>
      </c>
      <c r="F118" t="s">
        <v>18</v>
      </c>
      <c r="G118" t="s">
        <v>373</v>
      </c>
      <c r="I118">
        <v>5</v>
      </c>
      <c r="J118">
        <v>56</v>
      </c>
      <c r="K118" t="str">
        <f>IF(tbl_employee_master[[#This Row],[Exit Date]]="","Active","Exited")</f>
        <v>Active</v>
      </c>
      <c r="L118">
        <f ca="1">DATEDIF(tbl_employee_master[[#This Row],[Joining Date]],TODAY(),"Y")</f>
        <v>4</v>
      </c>
    </row>
    <row r="119" spans="1:12" x14ac:dyDescent="0.25">
      <c r="A119" t="s">
        <v>374</v>
      </c>
      <c r="B119" t="s">
        <v>39</v>
      </c>
      <c r="C119" t="s">
        <v>375</v>
      </c>
      <c r="D119">
        <v>378144</v>
      </c>
      <c r="E119">
        <v>38</v>
      </c>
      <c r="F119" t="s">
        <v>18</v>
      </c>
      <c r="G119" t="s">
        <v>376</v>
      </c>
      <c r="H119" t="s">
        <v>48</v>
      </c>
      <c r="I119">
        <v>2</v>
      </c>
      <c r="J119">
        <v>37</v>
      </c>
      <c r="K119" t="str">
        <f>IF(tbl_employee_master[[#This Row],[Exit Date]]="","Active","Exited")</f>
        <v>Exited</v>
      </c>
      <c r="L119">
        <f ca="1">DATEDIF(tbl_employee_master[[#This Row],[Joining Date]],TODAY(),"Y")</f>
        <v>1</v>
      </c>
    </row>
    <row r="120" spans="1:12" x14ac:dyDescent="0.25">
      <c r="A120" t="s">
        <v>377</v>
      </c>
      <c r="B120" t="s">
        <v>16</v>
      </c>
      <c r="C120" t="s">
        <v>378</v>
      </c>
      <c r="D120">
        <v>1228984</v>
      </c>
      <c r="E120">
        <v>32</v>
      </c>
      <c r="F120" t="s">
        <v>18</v>
      </c>
      <c r="G120" t="s">
        <v>379</v>
      </c>
      <c r="I120">
        <v>4</v>
      </c>
      <c r="J120">
        <v>11</v>
      </c>
      <c r="K120" t="str">
        <f>IF(tbl_employee_master[[#This Row],[Exit Date]]="","Active","Exited")</f>
        <v>Active</v>
      </c>
      <c r="L120">
        <f ca="1">DATEDIF(tbl_employee_master[[#This Row],[Joining Date]],TODAY(),"Y")</f>
        <v>4</v>
      </c>
    </row>
    <row r="121" spans="1:12" x14ac:dyDescent="0.25">
      <c r="A121" t="s">
        <v>380</v>
      </c>
      <c r="B121" t="s">
        <v>24</v>
      </c>
      <c r="C121" t="s">
        <v>381</v>
      </c>
      <c r="D121">
        <v>965354</v>
      </c>
      <c r="E121">
        <v>42</v>
      </c>
      <c r="F121" t="s">
        <v>13</v>
      </c>
      <c r="G121" t="s">
        <v>200</v>
      </c>
      <c r="I121">
        <v>3</v>
      </c>
      <c r="J121">
        <v>22</v>
      </c>
      <c r="K121" t="str">
        <f>IF(tbl_employee_master[[#This Row],[Exit Date]]="","Active","Exited")</f>
        <v>Active</v>
      </c>
      <c r="L121">
        <f ca="1">DATEDIF(tbl_employee_master[[#This Row],[Joining Date]],TODAY(),"Y")</f>
        <v>3</v>
      </c>
    </row>
    <row r="122" spans="1:12" x14ac:dyDescent="0.25">
      <c r="A122" t="s">
        <v>382</v>
      </c>
      <c r="B122" t="s">
        <v>32</v>
      </c>
      <c r="C122" t="s">
        <v>383</v>
      </c>
      <c r="D122">
        <v>635934</v>
      </c>
      <c r="E122">
        <v>41</v>
      </c>
      <c r="F122" t="s">
        <v>13</v>
      </c>
      <c r="G122" t="s">
        <v>384</v>
      </c>
      <c r="I122">
        <v>4</v>
      </c>
      <c r="J122">
        <v>16</v>
      </c>
      <c r="K122" t="str">
        <f>IF(tbl_employee_master[[#This Row],[Exit Date]]="","Active","Exited")</f>
        <v>Active</v>
      </c>
      <c r="L122">
        <f ca="1">DATEDIF(tbl_employee_master[[#This Row],[Joining Date]],TODAY(),"Y")</f>
        <v>5</v>
      </c>
    </row>
    <row r="123" spans="1:12" x14ac:dyDescent="0.25">
      <c r="A123" t="s">
        <v>385</v>
      </c>
      <c r="B123" t="s">
        <v>28</v>
      </c>
      <c r="C123" t="s">
        <v>386</v>
      </c>
      <c r="D123">
        <v>437707</v>
      </c>
      <c r="E123">
        <v>23</v>
      </c>
      <c r="F123" t="s">
        <v>13</v>
      </c>
      <c r="G123" t="s">
        <v>387</v>
      </c>
      <c r="I123">
        <v>2</v>
      </c>
      <c r="J123">
        <v>29</v>
      </c>
      <c r="K123" t="str">
        <f>IF(tbl_employee_master[[#This Row],[Exit Date]]="","Active","Exited")</f>
        <v>Active</v>
      </c>
      <c r="L123">
        <f ca="1">DATEDIF(tbl_employee_master[[#This Row],[Joining Date]],TODAY(),"Y")</f>
        <v>3</v>
      </c>
    </row>
    <row r="124" spans="1:12" x14ac:dyDescent="0.25">
      <c r="A124" t="s">
        <v>388</v>
      </c>
      <c r="B124" t="s">
        <v>59</v>
      </c>
      <c r="C124" t="s">
        <v>389</v>
      </c>
      <c r="D124">
        <v>664662</v>
      </c>
      <c r="E124">
        <v>41</v>
      </c>
      <c r="F124" t="s">
        <v>13</v>
      </c>
      <c r="G124" t="s">
        <v>390</v>
      </c>
      <c r="I124">
        <v>5</v>
      </c>
      <c r="J124">
        <v>52</v>
      </c>
      <c r="K124" t="str">
        <f>IF(tbl_employee_master[[#This Row],[Exit Date]]="","Active","Exited")</f>
        <v>Active</v>
      </c>
      <c r="L124">
        <f ca="1">DATEDIF(tbl_employee_master[[#This Row],[Joining Date]],TODAY(),"Y")</f>
        <v>5</v>
      </c>
    </row>
    <row r="125" spans="1:12" x14ac:dyDescent="0.25">
      <c r="A125" t="s">
        <v>391</v>
      </c>
      <c r="B125" t="s">
        <v>59</v>
      </c>
      <c r="C125" t="s">
        <v>392</v>
      </c>
      <c r="D125">
        <v>328843</v>
      </c>
      <c r="E125">
        <v>42</v>
      </c>
      <c r="F125" t="s">
        <v>13</v>
      </c>
      <c r="G125" t="s">
        <v>393</v>
      </c>
      <c r="I125">
        <v>1</v>
      </c>
      <c r="J125">
        <v>44</v>
      </c>
      <c r="K125" t="str">
        <f>IF(tbl_employee_master[[#This Row],[Exit Date]]="","Active","Exited")</f>
        <v>Active</v>
      </c>
      <c r="L125">
        <f ca="1">DATEDIF(tbl_employee_master[[#This Row],[Joining Date]],TODAY(),"Y")</f>
        <v>3</v>
      </c>
    </row>
    <row r="126" spans="1:12" x14ac:dyDescent="0.25">
      <c r="A126" t="s">
        <v>394</v>
      </c>
      <c r="B126" t="s">
        <v>28</v>
      </c>
      <c r="C126" t="s">
        <v>395</v>
      </c>
      <c r="D126">
        <v>983977</v>
      </c>
      <c r="E126">
        <v>44</v>
      </c>
      <c r="F126" t="s">
        <v>13</v>
      </c>
      <c r="G126" t="s">
        <v>396</v>
      </c>
      <c r="H126" t="s">
        <v>48</v>
      </c>
      <c r="I126">
        <v>4</v>
      </c>
      <c r="J126">
        <v>56</v>
      </c>
      <c r="K126" t="str">
        <f>IF(tbl_employee_master[[#This Row],[Exit Date]]="","Active","Exited")</f>
        <v>Exited</v>
      </c>
      <c r="L126">
        <f ca="1">DATEDIF(tbl_employee_master[[#This Row],[Joining Date]],TODAY(),"Y")</f>
        <v>0</v>
      </c>
    </row>
    <row r="127" spans="1:12" x14ac:dyDescent="0.25">
      <c r="A127" t="s">
        <v>397</v>
      </c>
      <c r="B127" t="s">
        <v>11</v>
      </c>
      <c r="C127" t="s">
        <v>398</v>
      </c>
      <c r="D127">
        <v>1421489</v>
      </c>
      <c r="E127">
        <v>35</v>
      </c>
      <c r="F127" t="s">
        <v>18</v>
      </c>
      <c r="G127" t="s">
        <v>399</v>
      </c>
      <c r="I127">
        <v>4</v>
      </c>
      <c r="J127">
        <v>43</v>
      </c>
      <c r="K127" t="str">
        <f>IF(tbl_employee_master[[#This Row],[Exit Date]]="","Active","Exited")</f>
        <v>Active</v>
      </c>
      <c r="L127">
        <f ca="1">DATEDIF(tbl_employee_master[[#This Row],[Joining Date]],TODAY(),"Y")</f>
        <v>4</v>
      </c>
    </row>
    <row r="128" spans="1:12" x14ac:dyDescent="0.25">
      <c r="A128" t="s">
        <v>400</v>
      </c>
      <c r="B128" t="s">
        <v>59</v>
      </c>
      <c r="C128" t="s">
        <v>401</v>
      </c>
      <c r="D128">
        <v>1194410</v>
      </c>
      <c r="E128">
        <v>38</v>
      </c>
      <c r="F128" t="s">
        <v>13</v>
      </c>
      <c r="G128" t="s">
        <v>259</v>
      </c>
      <c r="H128" t="s">
        <v>402</v>
      </c>
      <c r="I128">
        <v>5</v>
      </c>
      <c r="J128">
        <v>20</v>
      </c>
      <c r="K128" t="str">
        <f>IF(tbl_employee_master[[#This Row],[Exit Date]]="","Active","Exited")</f>
        <v>Exited</v>
      </c>
      <c r="L128">
        <f ca="1">DATEDIF(tbl_employee_master[[#This Row],[Joining Date]],TODAY(),"Y")</f>
        <v>3</v>
      </c>
    </row>
    <row r="129" spans="1:12" x14ac:dyDescent="0.25">
      <c r="A129" t="s">
        <v>403</v>
      </c>
      <c r="B129" t="s">
        <v>59</v>
      </c>
      <c r="C129" t="s">
        <v>404</v>
      </c>
      <c r="D129">
        <v>883471</v>
      </c>
      <c r="E129">
        <v>28</v>
      </c>
      <c r="F129" t="s">
        <v>18</v>
      </c>
      <c r="G129" t="s">
        <v>405</v>
      </c>
      <c r="H129" t="s">
        <v>406</v>
      </c>
      <c r="I129">
        <v>3</v>
      </c>
      <c r="J129">
        <v>48</v>
      </c>
      <c r="K129" t="str">
        <f>IF(tbl_employee_master[[#This Row],[Exit Date]]="","Active","Exited")</f>
        <v>Exited</v>
      </c>
      <c r="L129">
        <f ca="1">DATEDIF(tbl_employee_master[[#This Row],[Joining Date]],TODAY(),"Y")</f>
        <v>2</v>
      </c>
    </row>
    <row r="130" spans="1:12" x14ac:dyDescent="0.25">
      <c r="A130" t="s">
        <v>407</v>
      </c>
      <c r="B130" t="s">
        <v>32</v>
      </c>
      <c r="C130" t="s">
        <v>408</v>
      </c>
      <c r="D130">
        <v>775394</v>
      </c>
      <c r="E130">
        <v>35</v>
      </c>
      <c r="F130" t="s">
        <v>18</v>
      </c>
      <c r="G130" t="s">
        <v>409</v>
      </c>
      <c r="H130" t="s">
        <v>410</v>
      </c>
      <c r="I130">
        <v>2</v>
      </c>
      <c r="J130">
        <v>28</v>
      </c>
      <c r="K130" t="str">
        <f>IF(tbl_employee_master[[#This Row],[Exit Date]]="","Active","Exited")</f>
        <v>Exited</v>
      </c>
      <c r="L130">
        <f ca="1">DATEDIF(tbl_employee_master[[#This Row],[Joining Date]],TODAY(),"Y")</f>
        <v>5</v>
      </c>
    </row>
    <row r="131" spans="1:12" x14ac:dyDescent="0.25">
      <c r="A131" t="s">
        <v>411</v>
      </c>
      <c r="B131" t="s">
        <v>11</v>
      </c>
      <c r="C131" t="s">
        <v>412</v>
      </c>
      <c r="D131">
        <v>987399</v>
      </c>
      <c r="E131">
        <v>27</v>
      </c>
      <c r="F131" t="s">
        <v>18</v>
      </c>
      <c r="G131" t="s">
        <v>413</v>
      </c>
      <c r="I131">
        <v>5</v>
      </c>
      <c r="J131">
        <v>46</v>
      </c>
      <c r="K131" t="str">
        <f>IF(tbl_employee_master[[#This Row],[Exit Date]]="","Active","Exited")</f>
        <v>Active</v>
      </c>
      <c r="L131">
        <f ca="1">DATEDIF(tbl_employee_master[[#This Row],[Joining Date]],TODAY(),"Y")</f>
        <v>4</v>
      </c>
    </row>
    <row r="132" spans="1:12" x14ac:dyDescent="0.25">
      <c r="A132" t="s">
        <v>414</v>
      </c>
      <c r="B132" t="s">
        <v>11</v>
      </c>
      <c r="C132" t="s">
        <v>415</v>
      </c>
      <c r="D132">
        <v>1212470</v>
      </c>
      <c r="E132">
        <v>41</v>
      </c>
      <c r="F132" t="s">
        <v>18</v>
      </c>
      <c r="G132" t="s">
        <v>416</v>
      </c>
      <c r="H132" t="s">
        <v>48</v>
      </c>
      <c r="I132">
        <v>4</v>
      </c>
      <c r="J132">
        <v>52</v>
      </c>
      <c r="K132" t="str">
        <f>IF(tbl_employee_master[[#This Row],[Exit Date]]="","Active","Exited")</f>
        <v>Exited</v>
      </c>
      <c r="L132">
        <f ca="1">DATEDIF(tbl_employee_master[[#This Row],[Joining Date]],TODAY(),"Y")</f>
        <v>0</v>
      </c>
    </row>
    <row r="133" spans="1:12" x14ac:dyDescent="0.25">
      <c r="A133" t="s">
        <v>417</v>
      </c>
      <c r="B133" t="s">
        <v>39</v>
      </c>
      <c r="C133" t="s">
        <v>418</v>
      </c>
      <c r="D133">
        <v>481609</v>
      </c>
      <c r="E133">
        <v>24</v>
      </c>
      <c r="F133" t="s">
        <v>13</v>
      </c>
      <c r="G133" t="s">
        <v>419</v>
      </c>
      <c r="I133">
        <v>4</v>
      </c>
      <c r="J133">
        <v>47</v>
      </c>
      <c r="K133" t="str">
        <f>IF(tbl_employee_master[[#This Row],[Exit Date]]="","Active","Exited")</f>
        <v>Active</v>
      </c>
      <c r="L133">
        <f ca="1">DATEDIF(tbl_employee_master[[#This Row],[Joining Date]],TODAY(),"Y")</f>
        <v>5</v>
      </c>
    </row>
    <row r="134" spans="1:12" x14ac:dyDescent="0.25">
      <c r="A134" t="s">
        <v>420</v>
      </c>
      <c r="B134" t="s">
        <v>28</v>
      </c>
      <c r="C134" t="s">
        <v>421</v>
      </c>
      <c r="D134">
        <v>1234948</v>
      </c>
      <c r="E134">
        <v>22</v>
      </c>
      <c r="F134" t="s">
        <v>18</v>
      </c>
      <c r="G134" t="s">
        <v>26</v>
      </c>
      <c r="I134">
        <v>2</v>
      </c>
      <c r="J134">
        <v>34</v>
      </c>
      <c r="K134" t="str">
        <f>IF(tbl_employee_master[[#This Row],[Exit Date]]="","Active","Exited")</f>
        <v>Active</v>
      </c>
      <c r="L134">
        <f ca="1">DATEDIF(tbl_employee_master[[#This Row],[Joining Date]],TODAY(),"Y")</f>
        <v>2</v>
      </c>
    </row>
    <row r="135" spans="1:12" x14ac:dyDescent="0.25">
      <c r="A135" t="s">
        <v>422</v>
      </c>
      <c r="B135" t="s">
        <v>24</v>
      </c>
      <c r="C135" t="s">
        <v>423</v>
      </c>
      <c r="D135">
        <v>722890</v>
      </c>
      <c r="E135">
        <v>37</v>
      </c>
      <c r="F135" t="s">
        <v>13</v>
      </c>
      <c r="G135" t="s">
        <v>424</v>
      </c>
      <c r="I135">
        <v>4</v>
      </c>
      <c r="J135">
        <v>41</v>
      </c>
      <c r="K135" t="str">
        <f>IF(tbl_employee_master[[#This Row],[Exit Date]]="","Active","Exited")</f>
        <v>Active</v>
      </c>
      <c r="L135">
        <f ca="1">DATEDIF(tbl_employee_master[[#This Row],[Joining Date]],TODAY(),"Y")</f>
        <v>2</v>
      </c>
    </row>
    <row r="136" spans="1:12" x14ac:dyDescent="0.25">
      <c r="A136" t="s">
        <v>425</v>
      </c>
      <c r="B136" t="s">
        <v>32</v>
      </c>
      <c r="C136" t="s">
        <v>426</v>
      </c>
      <c r="D136">
        <v>1703428</v>
      </c>
      <c r="E136">
        <v>49</v>
      </c>
      <c r="F136" t="s">
        <v>18</v>
      </c>
      <c r="G136" t="s">
        <v>427</v>
      </c>
      <c r="I136">
        <v>3</v>
      </c>
      <c r="J136">
        <v>50</v>
      </c>
      <c r="K136" t="str">
        <f>IF(tbl_employee_master[[#This Row],[Exit Date]]="","Active","Exited")</f>
        <v>Active</v>
      </c>
      <c r="L136">
        <f ca="1">DATEDIF(tbl_employee_master[[#This Row],[Joining Date]],TODAY(),"Y")</f>
        <v>3</v>
      </c>
    </row>
    <row r="137" spans="1:12" x14ac:dyDescent="0.25">
      <c r="A137" t="s">
        <v>428</v>
      </c>
      <c r="B137" t="s">
        <v>32</v>
      </c>
      <c r="C137" t="s">
        <v>429</v>
      </c>
      <c r="D137">
        <v>1706023</v>
      </c>
      <c r="E137">
        <v>34</v>
      </c>
      <c r="F137" t="s">
        <v>18</v>
      </c>
      <c r="G137" t="s">
        <v>430</v>
      </c>
      <c r="I137">
        <v>3</v>
      </c>
      <c r="J137">
        <v>30</v>
      </c>
      <c r="K137" t="str">
        <f>IF(tbl_employee_master[[#This Row],[Exit Date]]="","Active","Exited")</f>
        <v>Active</v>
      </c>
      <c r="L137">
        <f ca="1">DATEDIF(tbl_employee_master[[#This Row],[Joining Date]],TODAY(),"Y")</f>
        <v>3</v>
      </c>
    </row>
    <row r="138" spans="1:12" x14ac:dyDescent="0.25">
      <c r="A138" t="s">
        <v>431</v>
      </c>
      <c r="B138" t="s">
        <v>28</v>
      </c>
      <c r="C138" t="s">
        <v>372</v>
      </c>
      <c r="D138">
        <v>1246355</v>
      </c>
      <c r="E138">
        <v>24</v>
      </c>
      <c r="F138" t="s">
        <v>18</v>
      </c>
      <c r="G138" t="s">
        <v>139</v>
      </c>
      <c r="I138">
        <v>2</v>
      </c>
      <c r="J138">
        <v>45</v>
      </c>
      <c r="K138" t="str">
        <f>IF(tbl_employee_master[[#This Row],[Exit Date]]="","Active","Exited")</f>
        <v>Active</v>
      </c>
      <c r="L138">
        <f ca="1">DATEDIF(tbl_employee_master[[#This Row],[Joining Date]],TODAY(),"Y")</f>
        <v>4</v>
      </c>
    </row>
    <row r="139" spans="1:12" x14ac:dyDescent="0.25">
      <c r="A139" t="s">
        <v>432</v>
      </c>
      <c r="B139" t="s">
        <v>59</v>
      </c>
      <c r="C139" t="s">
        <v>433</v>
      </c>
      <c r="D139">
        <v>514630</v>
      </c>
      <c r="E139">
        <v>48</v>
      </c>
      <c r="F139" t="s">
        <v>13</v>
      </c>
      <c r="G139" t="s">
        <v>434</v>
      </c>
      <c r="H139" t="s">
        <v>435</v>
      </c>
      <c r="I139">
        <v>4</v>
      </c>
      <c r="J139">
        <v>19</v>
      </c>
      <c r="K139" t="str">
        <f>IF(tbl_employee_master[[#This Row],[Exit Date]]="","Active","Exited")</f>
        <v>Exited</v>
      </c>
      <c r="L139">
        <f ca="1">DATEDIF(tbl_employee_master[[#This Row],[Joining Date]],TODAY(),"Y")</f>
        <v>5</v>
      </c>
    </row>
    <row r="140" spans="1:12" x14ac:dyDescent="0.25">
      <c r="A140" t="s">
        <v>436</v>
      </c>
      <c r="B140" t="s">
        <v>24</v>
      </c>
      <c r="C140" t="s">
        <v>437</v>
      </c>
      <c r="D140">
        <v>1701708</v>
      </c>
      <c r="E140">
        <v>38</v>
      </c>
      <c r="F140" t="s">
        <v>13</v>
      </c>
      <c r="G140" t="s">
        <v>438</v>
      </c>
      <c r="H140" t="s">
        <v>439</v>
      </c>
      <c r="I140">
        <v>2</v>
      </c>
      <c r="J140">
        <v>4</v>
      </c>
      <c r="K140" t="str">
        <f>IF(tbl_employee_master[[#This Row],[Exit Date]]="","Active","Exited")</f>
        <v>Exited</v>
      </c>
      <c r="L140">
        <f ca="1">DATEDIF(tbl_employee_master[[#This Row],[Joining Date]],TODAY(),"Y")</f>
        <v>6</v>
      </c>
    </row>
    <row r="141" spans="1:12" x14ac:dyDescent="0.25">
      <c r="A141" t="s">
        <v>440</v>
      </c>
      <c r="B141" t="s">
        <v>32</v>
      </c>
      <c r="C141" t="s">
        <v>441</v>
      </c>
      <c r="D141">
        <v>490973</v>
      </c>
      <c r="E141">
        <v>29</v>
      </c>
      <c r="F141" t="s">
        <v>18</v>
      </c>
      <c r="G141" t="s">
        <v>442</v>
      </c>
      <c r="H141" t="s">
        <v>320</v>
      </c>
      <c r="I141">
        <v>4</v>
      </c>
      <c r="J141">
        <v>6</v>
      </c>
      <c r="K141" t="str">
        <f>IF(tbl_employee_master[[#This Row],[Exit Date]]="","Active","Exited")</f>
        <v>Exited</v>
      </c>
      <c r="L141">
        <f ca="1">DATEDIF(tbl_employee_master[[#This Row],[Joining Date]],TODAY(),"Y")</f>
        <v>5</v>
      </c>
    </row>
    <row r="142" spans="1:12" x14ac:dyDescent="0.25">
      <c r="A142" t="s">
        <v>443</v>
      </c>
      <c r="B142" t="s">
        <v>59</v>
      </c>
      <c r="C142" t="s">
        <v>444</v>
      </c>
      <c r="D142">
        <v>1726137</v>
      </c>
      <c r="E142">
        <v>47</v>
      </c>
      <c r="F142" t="s">
        <v>13</v>
      </c>
      <c r="G142" t="s">
        <v>445</v>
      </c>
      <c r="H142" t="s">
        <v>418</v>
      </c>
      <c r="I142">
        <v>2</v>
      </c>
      <c r="J142">
        <v>27</v>
      </c>
      <c r="K142" t="str">
        <f>IF(tbl_employee_master[[#This Row],[Exit Date]]="","Active","Exited")</f>
        <v>Exited</v>
      </c>
      <c r="L142">
        <f ca="1">DATEDIF(tbl_employee_master[[#This Row],[Joining Date]],TODAY(),"Y")</f>
        <v>6</v>
      </c>
    </row>
    <row r="143" spans="1:12" x14ac:dyDescent="0.25">
      <c r="A143" t="s">
        <v>446</v>
      </c>
      <c r="B143" t="s">
        <v>28</v>
      </c>
      <c r="C143" t="s">
        <v>447</v>
      </c>
      <c r="D143">
        <v>1743668</v>
      </c>
      <c r="E143">
        <v>36</v>
      </c>
      <c r="F143" t="s">
        <v>13</v>
      </c>
      <c r="G143" t="s">
        <v>448</v>
      </c>
      <c r="I143">
        <v>4</v>
      </c>
      <c r="J143">
        <v>33</v>
      </c>
      <c r="K143" t="str">
        <f>IF(tbl_employee_master[[#This Row],[Exit Date]]="","Active","Exited")</f>
        <v>Active</v>
      </c>
      <c r="L143">
        <f ca="1">DATEDIF(tbl_employee_master[[#This Row],[Joining Date]],TODAY(),"Y")</f>
        <v>6</v>
      </c>
    </row>
    <row r="144" spans="1:12" x14ac:dyDescent="0.25">
      <c r="A144" t="s">
        <v>449</v>
      </c>
      <c r="B144" t="s">
        <v>28</v>
      </c>
      <c r="C144" t="s">
        <v>450</v>
      </c>
      <c r="D144">
        <v>1597631</v>
      </c>
      <c r="E144">
        <v>40</v>
      </c>
      <c r="F144" t="s">
        <v>18</v>
      </c>
      <c r="G144" t="s">
        <v>107</v>
      </c>
      <c r="H144" t="s">
        <v>48</v>
      </c>
      <c r="I144">
        <v>3</v>
      </c>
      <c r="J144">
        <v>21</v>
      </c>
      <c r="K144" t="str">
        <f>IF(tbl_employee_master[[#This Row],[Exit Date]]="","Active","Exited")</f>
        <v>Exited</v>
      </c>
      <c r="L144">
        <f ca="1">DATEDIF(tbl_employee_master[[#This Row],[Joining Date]],TODAY(),"Y")</f>
        <v>4</v>
      </c>
    </row>
    <row r="145" spans="1:12" x14ac:dyDescent="0.25">
      <c r="A145" t="s">
        <v>451</v>
      </c>
      <c r="B145" t="s">
        <v>11</v>
      </c>
      <c r="C145" t="s">
        <v>452</v>
      </c>
      <c r="D145">
        <v>646589</v>
      </c>
      <c r="E145">
        <v>23</v>
      </c>
      <c r="F145" t="s">
        <v>18</v>
      </c>
      <c r="G145" t="s">
        <v>453</v>
      </c>
      <c r="I145">
        <v>1</v>
      </c>
      <c r="J145">
        <v>48</v>
      </c>
      <c r="K145" t="str">
        <f>IF(tbl_employee_master[[#This Row],[Exit Date]]="","Active","Exited")</f>
        <v>Active</v>
      </c>
      <c r="L145">
        <f ca="1">DATEDIF(tbl_employee_master[[#This Row],[Joining Date]],TODAY(),"Y")</f>
        <v>2</v>
      </c>
    </row>
    <row r="146" spans="1:12" x14ac:dyDescent="0.25">
      <c r="A146" t="s">
        <v>454</v>
      </c>
      <c r="B146" t="s">
        <v>28</v>
      </c>
      <c r="C146" t="s">
        <v>455</v>
      </c>
      <c r="D146">
        <v>1596338</v>
      </c>
      <c r="E146">
        <v>39</v>
      </c>
      <c r="F146" t="s">
        <v>13</v>
      </c>
      <c r="G146" t="s">
        <v>456</v>
      </c>
      <c r="I146">
        <v>4</v>
      </c>
      <c r="J146">
        <v>23</v>
      </c>
      <c r="K146" t="str">
        <f>IF(tbl_employee_master[[#This Row],[Exit Date]]="","Active","Exited")</f>
        <v>Active</v>
      </c>
      <c r="L146">
        <f ca="1">DATEDIF(tbl_employee_master[[#This Row],[Joining Date]],TODAY(),"Y")</f>
        <v>5</v>
      </c>
    </row>
    <row r="147" spans="1:12" x14ac:dyDescent="0.25">
      <c r="A147" t="s">
        <v>457</v>
      </c>
      <c r="B147" t="s">
        <v>11</v>
      </c>
      <c r="C147" t="s">
        <v>458</v>
      </c>
      <c r="D147">
        <v>435537</v>
      </c>
      <c r="E147">
        <v>35</v>
      </c>
      <c r="F147" t="s">
        <v>13</v>
      </c>
      <c r="G147" t="s">
        <v>459</v>
      </c>
      <c r="H147" t="s">
        <v>460</v>
      </c>
      <c r="I147">
        <v>5</v>
      </c>
      <c r="J147">
        <v>21</v>
      </c>
      <c r="K147" t="str">
        <f>IF(tbl_employee_master[[#This Row],[Exit Date]]="","Active","Exited")</f>
        <v>Exited</v>
      </c>
      <c r="L147">
        <f ca="1">DATEDIF(tbl_employee_master[[#This Row],[Joining Date]],TODAY(),"Y")</f>
        <v>4</v>
      </c>
    </row>
    <row r="148" spans="1:12" x14ac:dyDescent="0.25">
      <c r="A148" t="s">
        <v>461</v>
      </c>
      <c r="B148" t="s">
        <v>32</v>
      </c>
      <c r="C148" t="s">
        <v>462</v>
      </c>
      <c r="D148">
        <v>1159761</v>
      </c>
      <c r="E148">
        <v>46</v>
      </c>
      <c r="F148" t="s">
        <v>18</v>
      </c>
      <c r="G148" t="s">
        <v>463</v>
      </c>
      <c r="I148">
        <v>3</v>
      </c>
      <c r="J148">
        <v>57</v>
      </c>
      <c r="K148" t="str">
        <f>IF(tbl_employee_master[[#This Row],[Exit Date]]="","Active","Exited")</f>
        <v>Active</v>
      </c>
      <c r="L148">
        <f ca="1">DATEDIF(tbl_employee_master[[#This Row],[Joining Date]],TODAY(),"Y")</f>
        <v>6</v>
      </c>
    </row>
    <row r="149" spans="1:12" x14ac:dyDescent="0.25">
      <c r="A149" t="s">
        <v>464</v>
      </c>
      <c r="B149" t="s">
        <v>16</v>
      </c>
      <c r="C149" t="s">
        <v>465</v>
      </c>
      <c r="D149">
        <v>822248</v>
      </c>
      <c r="E149">
        <v>44</v>
      </c>
      <c r="F149" t="s">
        <v>13</v>
      </c>
      <c r="G149" t="s">
        <v>466</v>
      </c>
      <c r="I149">
        <v>5</v>
      </c>
      <c r="J149">
        <v>10</v>
      </c>
      <c r="K149" t="str">
        <f>IF(tbl_employee_master[[#This Row],[Exit Date]]="","Active","Exited")</f>
        <v>Active</v>
      </c>
      <c r="L149">
        <f ca="1">DATEDIF(tbl_employee_master[[#This Row],[Joining Date]],TODAY(),"Y")</f>
        <v>1</v>
      </c>
    </row>
    <row r="150" spans="1:12" x14ac:dyDescent="0.25">
      <c r="A150" t="s">
        <v>467</v>
      </c>
      <c r="B150" t="s">
        <v>16</v>
      </c>
      <c r="C150" t="s">
        <v>468</v>
      </c>
      <c r="D150">
        <v>955273</v>
      </c>
      <c r="E150">
        <v>23</v>
      </c>
      <c r="F150" t="s">
        <v>18</v>
      </c>
      <c r="G150" t="s">
        <v>227</v>
      </c>
      <c r="I150">
        <v>5</v>
      </c>
      <c r="J150">
        <v>30</v>
      </c>
      <c r="K150" t="str">
        <f>IF(tbl_employee_master[[#This Row],[Exit Date]]="","Active","Exited")</f>
        <v>Active</v>
      </c>
      <c r="L150">
        <f ca="1">DATEDIF(tbl_employee_master[[#This Row],[Joining Date]],TODAY(),"Y")</f>
        <v>2</v>
      </c>
    </row>
    <row r="151" spans="1:12" x14ac:dyDescent="0.25">
      <c r="A151" t="s">
        <v>469</v>
      </c>
      <c r="B151" t="s">
        <v>39</v>
      </c>
      <c r="C151" t="s">
        <v>470</v>
      </c>
      <c r="D151">
        <v>367740</v>
      </c>
      <c r="E151">
        <v>47</v>
      </c>
      <c r="F151" t="s">
        <v>13</v>
      </c>
      <c r="G151" t="s">
        <v>471</v>
      </c>
      <c r="I151">
        <v>5</v>
      </c>
      <c r="J151">
        <v>23</v>
      </c>
      <c r="K151" t="str">
        <f>IF(tbl_employee_master[[#This Row],[Exit Date]]="","Active","Exited")</f>
        <v>Active</v>
      </c>
      <c r="L151">
        <f ca="1">DATEDIF(tbl_employee_master[[#This Row],[Joining Date]],TODAY(),"Y")</f>
        <v>0</v>
      </c>
    </row>
    <row r="152" spans="1:12" x14ac:dyDescent="0.25">
      <c r="A152" t="s">
        <v>472</v>
      </c>
      <c r="B152" t="s">
        <v>39</v>
      </c>
      <c r="C152" t="s">
        <v>473</v>
      </c>
      <c r="D152">
        <v>1765099</v>
      </c>
      <c r="E152">
        <v>29</v>
      </c>
      <c r="F152" t="s">
        <v>18</v>
      </c>
      <c r="G152" t="s">
        <v>474</v>
      </c>
      <c r="I152">
        <v>2</v>
      </c>
      <c r="J152">
        <v>28</v>
      </c>
      <c r="K152" t="str">
        <f>IF(tbl_employee_master[[#This Row],[Exit Date]]="","Active","Exited")</f>
        <v>Active</v>
      </c>
      <c r="L152">
        <f ca="1">DATEDIF(tbl_employee_master[[#This Row],[Joining Date]],TODAY(),"Y")</f>
        <v>0</v>
      </c>
    </row>
    <row r="153" spans="1:12" x14ac:dyDescent="0.25">
      <c r="A153" t="s">
        <v>475</v>
      </c>
      <c r="B153" t="s">
        <v>28</v>
      </c>
      <c r="C153" t="s">
        <v>476</v>
      </c>
      <c r="D153">
        <v>1090576</v>
      </c>
      <c r="E153">
        <v>48</v>
      </c>
      <c r="F153" t="s">
        <v>18</v>
      </c>
      <c r="G153" t="s">
        <v>477</v>
      </c>
      <c r="I153">
        <v>5</v>
      </c>
      <c r="J153">
        <v>29</v>
      </c>
      <c r="K153" t="str">
        <f>IF(tbl_employee_master[[#This Row],[Exit Date]]="","Active","Exited")</f>
        <v>Active</v>
      </c>
      <c r="L153">
        <f ca="1">DATEDIF(tbl_employee_master[[#This Row],[Joining Date]],TODAY(),"Y")</f>
        <v>5</v>
      </c>
    </row>
    <row r="154" spans="1:12" x14ac:dyDescent="0.25">
      <c r="A154" t="s">
        <v>478</v>
      </c>
      <c r="B154" t="s">
        <v>28</v>
      </c>
      <c r="C154" t="s">
        <v>479</v>
      </c>
      <c r="D154">
        <v>1050748</v>
      </c>
      <c r="E154">
        <v>42</v>
      </c>
      <c r="F154" t="s">
        <v>13</v>
      </c>
      <c r="G154" t="s">
        <v>480</v>
      </c>
      <c r="H154" t="s">
        <v>48</v>
      </c>
      <c r="I154">
        <v>3</v>
      </c>
      <c r="J154">
        <v>20</v>
      </c>
      <c r="K154" t="str">
        <f>IF(tbl_employee_master[[#This Row],[Exit Date]]="","Active","Exited")</f>
        <v>Exited</v>
      </c>
      <c r="L154">
        <f ca="1">DATEDIF(tbl_employee_master[[#This Row],[Joining Date]],TODAY(),"Y")</f>
        <v>0</v>
      </c>
    </row>
    <row r="155" spans="1:12" x14ac:dyDescent="0.25">
      <c r="A155" t="s">
        <v>481</v>
      </c>
      <c r="B155" t="s">
        <v>24</v>
      </c>
      <c r="C155" t="s">
        <v>482</v>
      </c>
      <c r="D155">
        <v>1170986</v>
      </c>
      <c r="E155">
        <v>29</v>
      </c>
      <c r="F155" t="s">
        <v>18</v>
      </c>
      <c r="G155" t="s">
        <v>483</v>
      </c>
      <c r="I155">
        <v>5</v>
      </c>
      <c r="J155">
        <v>20</v>
      </c>
      <c r="K155" t="str">
        <f>IF(tbl_employee_master[[#This Row],[Exit Date]]="","Active","Exited")</f>
        <v>Active</v>
      </c>
      <c r="L155">
        <f ca="1">DATEDIF(tbl_employee_master[[#This Row],[Joining Date]],TODAY(),"Y")</f>
        <v>2</v>
      </c>
    </row>
    <row r="156" spans="1:12" x14ac:dyDescent="0.25">
      <c r="A156" t="s">
        <v>484</v>
      </c>
      <c r="B156" t="s">
        <v>11</v>
      </c>
      <c r="C156" t="s">
        <v>485</v>
      </c>
      <c r="D156">
        <v>1638687</v>
      </c>
      <c r="E156">
        <v>36</v>
      </c>
      <c r="F156" t="s">
        <v>13</v>
      </c>
      <c r="G156" t="s">
        <v>486</v>
      </c>
      <c r="I156">
        <v>2</v>
      </c>
      <c r="J156">
        <v>60</v>
      </c>
      <c r="K156" t="str">
        <f>IF(tbl_employee_master[[#This Row],[Exit Date]]="","Active","Exited")</f>
        <v>Active</v>
      </c>
      <c r="L156">
        <f ca="1">DATEDIF(tbl_employee_master[[#This Row],[Joining Date]],TODAY(),"Y")</f>
        <v>0</v>
      </c>
    </row>
    <row r="157" spans="1:12" x14ac:dyDescent="0.25">
      <c r="A157" t="s">
        <v>487</v>
      </c>
      <c r="B157" t="s">
        <v>24</v>
      </c>
      <c r="C157" t="s">
        <v>41</v>
      </c>
      <c r="D157">
        <v>1722296</v>
      </c>
      <c r="E157">
        <v>36</v>
      </c>
      <c r="F157" t="s">
        <v>13</v>
      </c>
      <c r="G157" t="s">
        <v>488</v>
      </c>
      <c r="H157" t="s">
        <v>48</v>
      </c>
      <c r="I157">
        <v>4</v>
      </c>
      <c r="J157">
        <v>40</v>
      </c>
      <c r="K157" t="str">
        <f>IF(tbl_employee_master[[#This Row],[Exit Date]]="","Active","Exited")</f>
        <v>Exited</v>
      </c>
      <c r="L157">
        <f ca="1">DATEDIF(tbl_employee_master[[#This Row],[Joining Date]],TODAY(),"Y")</f>
        <v>0</v>
      </c>
    </row>
    <row r="158" spans="1:12" x14ac:dyDescent="0.25">
      <c r="A158" t="s">
        <v>489</v>
      </c>
      <c r="B158" t="s">
        <v>32</v>
      </c>
      <c r="C158" t="s">
        <v>490</v>
      </c>
      <c r="D158">
        <v>790848</v>
      </c>
      <c r="E158">
        <v>44</v>
      </c>
      <c r="F158" t="s">
        <v>18</v>
      </c>
      <c r="G158" t="s">
        <v>491</v>
      </c>
      <c r="H158" t="s">
        <v>48</v>
      </c>
      <c r="I158">
        <v>3</v>
      </c>
      <c r="J158">
        <v>49</v>
      </c>
      <c r="K158" t="str">
        <f>IF(tbl_employee_master[[#This Row],[Exit Date]]="","Active","Exited")</f>
        <v>Exited</v>
      </c>
      <c r="L158">
        <f ca="1">DATEDIF(tbl_employee_master[[#This Row],[Joining Date]],TODAY(),"Y")</f>
        <v>0</v>
      </c>
    </row>
    <row r="159" spans="1:12" x14ac:dyDescent="0.25">
      <c r="A159" t="s">
        <v>492</v>
      </c>
      <c r="B159" t="s">
        <v>24</v>
      </c>
      <c r="C159" t="s">
        <v>493</v>
      </c>
      <c r="D159">
        <v>874479</v>
      </c>
      <c r="E159">
        <v>28</v>
      </c>
      <c r="F159" t="s">
        <v>13</v>
      </c>
      <c r="G159" t="s">
        <v>306</v>
      </c>
      <c r="I159">
        <v>3</v>
      </c>
      <c r="J159">
        <v>33</v>
      </c>
      <c r="K159" t="str">
        <f>IF(tbl_employee_master[[#This Row],[Exit Date]]="","Active","Exited")</f>
        <v>Active</v>
      </c>
      <c r="L159">
        <f ca="1">DATEDIF(tbl_employee_master[[#This Row],[Joining Date]],TODAY(),"Y")</f>
        <v>3</v>
      </c>
    </row>
    <row r="160" spans="1:12" x14ac:dyDescent="0.25">
      <c r="A160" t="s">
        <v>494</v>
      </c>
      <c r="B160" t="s">
        <v>59</v>
      </c>
      <c r="C160" t="s">
        <v>495</v>
      </c>
      <c r="D160">
        <v>523213</v>
      </c>
      <c r="E160">
        <v>33</v>
      </c>
      <c r="F160" t="s">
        <v>18</v>
      </c>
      <c r="G160" t="s">
        <v>496</v>
      </c>
      <c r="I160">
        <v>3</v>
      </c>
      <c r="J160">
        <v>45</v>
      </c>
      <c r="K160" t="str">
        <f>IF(tbl_employee_master[[#This Row],[Exit Date]]="","Active","Exited")</f>
        <v>Active</v>
      </c>
      <c r="L160">
        <f ca="1">DATEDIF(tbl_employee_master[[#This Row],[Joining Date]],TODAY(),"Y")</f>
        <v>5</v>
      </c>
    </row>
    <row r="161" spans="1:12" x14ac:dyDescent="0.25">
      <c r="A161" t="s">
        <v>497</v>
      </c>
      <c r="B161" t="s">
        <v>11</v>
      </c>
      <c r="C161" t="s">
        <v>498</v>
      </c>
      <c r="D161">
        <v>1482858</v>
      </c>
      <c r="E161">
        <v>33</v>
      </c>
      <c r="F161" t="s">
        <v>13</v>
      </c>
      <c r="G161" t="s">
        <v>499</v>
      </c>
      <c r="H161" t="s">
        <v>48</v>
      </c>
      <c r="I161">
        <v>4</v>
      </c>
      <c r="J161">
        <v>58</v>
      </c>
      <c r="K161" t="str">
        <f>IF(tbl_employee_master[[#This Row],[Exit Date]]="","Active","Exited")</f>
        <v>Exited</v>
      </c>
      <c r="L161">
        <f ca="1">DATEDIF(tbl_employee_master[[#This Row],[Joining Date]],TODAY(),"Y")</f>
        <v>3</v>
      </c>
    </row>
    <row r="162" spans="1:12" x14ac:dyDescent="0.25">
      <c r="A162" t="s">
        <v>500</v>
      </c>
      <c r="B162" t="s">
        <v>11</v>
      </c>
      <c r="C162" t="s">
        <v>501</v>
      </c>
      <c r="D162">
        <v>1394651</v>
      </c>
      <c r="E162">
        <v>40</v>
      </c>
      <c r="F162" t="s">
        <v>18</v>
      </c>
      <c r="G162" t="s">
        <v>102</v>
      </c>
      <c r="I162">
        <v>4</v>
      </c>
      <c r="J162">
        <v>19</v>
      </c>
      <c r="K162" t="str">
        <f>IF(tbl_employee_master[[#This Row],[Exit Date]]="","Active","Exited")</f>
        <v>Active</v>
      </c>
      <c r="L162">
        <f ca="1">DATEDIF(tbl_employee_master[[#This Row],[Joining Date]],TODAY(),"Y")</f>
        <v>4</v>
      </c>
    </row>
    <row r="163" spans="1:12" x14ac:dyDescent="0.25">
      <c r="A163" t="s">
        <v>502</v>
      </c>
      <c r="B163" t="s">
        <v>16</v>
      </c>
      <c r="C163" t="s">
        <v>503</v>
      </c>
      <c r="D163">
        <v>1298560</v>
      </c>
      <c r="E163">
        <v>28</v>
      </c>
      <c r="F163" t="s">
        <v>13</v>
      </c>
      <c r="G163" t="s">
        <v>504</v>
      </c>
      <c r="I163">
        <v>3</v>
      </c>
      <c r="J163">
        <v>15</v>
      </c>
      <c r="K163" t="str">
        <f>IF(tbl_employee_master[[#This Row],[Exit Date]]="","Active","Exited")</f>
        <v>Active</v>
      </c>
      <c r="L163">
        <f ca="1">DATEDIF(tbl_employee_master[[#This Row],[Joining Date]],TODAY(),"Y")</f>
        <v>5</v>
      </c>
    </row>
    <row r="164" spans="1:12" x14ac:dyDescent="0.25">
      <c r="A164" t="s">
        <v>505</v>
      </c>
      <c r="B164" t="s">
        <v>16</v>
      </c>
      <c r="C164" t="s">
        <v>238</v>
      </c>
      <c r="D164">
        <v>1363952</v>
      </c>
      <c r="E164">
        <v>47</v>
      </c>
      <c r="F164" t="s">
        <v>13</v>
      </c>
      <c r="G164" t="s">
        <v>506</v>
      </c>
      <c r="H164" t="s">
        <v>507</v>
      </c>
      <c r="I164">
        <v>4</v>
      </c>
      <c r="J164">
        <v>11</v>
      </c>
      <c r="K164" t="str">
        <f>IF(tbl_employee_master[[#This Row],[Exit Date]]="","Active","Exited")</f>
        <v>Exited</v>
      </c>
      <c r="L164">
        <f ca="1">DATEDIF(tbl_employee_master[[#This Row],[Joining Date]],TODAY(),"Y")</f>
        <v>4</v>
      </c>
    </row>
    <row r="165" spans="1:12" x14ac:dyDescent="0.25">
      <c r="A165" t="s">
        <v>508</v>
      </c>
      <c r="B165" t="s">
        <v>59</v>
      </c>
      <c r="C165" t="s">
        <v>509</v>
      </c>
      <c r="D165">
        <v>857916</v>
      </c>
      <c r="E165">
        <v>49</v>
      </c>
      <c r="F165" t="s">
        <v>18</v>
      </c>
      <c r="G165" t="s">
        <v>510</v>
      </c>
      <c r="I165">
        <v>5</v>
      </c>
      <c r="J165">
        <v>14</v>
      </c>
      <c r="K165" t="str">
        <f>IF(tbl_employee_master[[#This Row],[Exit Date]]="","Active","Exited")</f>
        <v>Active</v>
      </c>
      <c r="L165">
        <f ca="1">DATEDIF(tbl_employee_master[[#This Row],[Joining Date]],TODAY(),"Y")</f>
        <v>5</v>
      </c>
    </row>
    <row r="166" spans="1:12" x14ac:dyDescent="0.25">
      <c r="A166" t="s">
        <v>511</v>
      </c>
      <c r="B166" t="s">
        <v>16</v>
      </c>
      <c r="C166" t="s">
        <v>512</v>
      </c>
      <c r="D166">
        <v>925274</v>
      </c>
      <c r="E166">
        <v>23</v>
      </c>
      <c r="F166" t="s">
        <v>18</v>
      </c>
      <c r="G166" t="s">
        <v>513</v>
      </c>
      <c r="I166">
        <v>3</v>
      </c>
      <c r="J166">
        <v>39</v>
      </c>
      <c r="K166" t="str">
        <f>IF(tbl_employee_master[[#This Row],[Exit Date]]="","Active","Exited")</f>
        <v>Active</v>
      </c>
      <c r="L166">
        <f ca="1">DATEDIF(tbl_employee_master[[#This Row],[Joining Date]],TODAY(),"Y")</f>
        <v>6</v>
      </c>
    </row>
    <row r="167" spans="1:12" x14ac:dyDescent="0.25">
      <c r="A167" t="s">
        <v>514</v>
      </c>
      <c r="B167" t="s">
        <v>16</v>
      </c>
      <c r="C167" t="s">
        <v>515</v>
      </c>
      <c r="D167">
        <v>1459880</v>
      </c>
      <c r="E167">
        <v>34</v>
      </c>
      <c r="F167" t="s">
        <v>13</v>
      </c>
      <c r="G167" t="s">
        <v>516</v>
      </c>
      <c r="I167">
        <v>2</v>
      </c>
      <c r="J167">
        <v>5</v>
      </c>
      <c r="K167" t="str">
        <f>IF(tbl_employee_master[[#This Row],[Exit Date]]="","Active","Exited")</f>
        <v>Active</v>
      </c>
      <c r="L167">
        <f ca="1">DATEDIF(tbl_employee_master[[#This Row],[Joining Date]],TODAY(),"Y")</f>
        <v>3</v>
      </c>
    </row>
    <row r="168" spans="1:12" x14ac:dyDescent="0.25">
      <c r="A168" t="s">
        <v>517</v>
      </c>
      <c r="B168" t="s">
        <v>28</v>
      </c>
      <c r="C168" t="s">
        <v>518</v>
      </c>
      <c r="D168">
        <v>907326</v>
      </c>
      <c r="E168">
        <v>39</v>
      </c>
      <c r="F168" t="s">
        <v>13</v>
      </c>
      <c r="G168" t="s">
        <v>519</v>
      </c>
      <c r="I168">
        <v>3</v>
      </c>
      <c r="J168">
        <v>47</v>
      </c>
      <c r="K168" t="str">
        <f>IF(tbl_employee_master[[#This Row],[Exit Date]]="","Active","Exited")</f>
        <v>Active</v>
      </c>
      <c r="L168">
        <f ca="1">DATEDIF(tbl_employee_master[[#This Row],[Joining Date]],TODAY(),"Y")</f>
        <v>5</v>
      </c>
    </row>
    <row r="169" spans="1:12" x14ac:dyDescent="0.25">
      <c r="A169" t="s">
        <v>520</v>
      </c>
      <c r="B169" t="s">
        <v>32</v>
      </c>
      <c r="C169" t="s">
        <v>121</v>
      </c>
      <c r="D169">
        <v>639233</v>
      </c>
      <c r="E169">
        <v>49</v>
      </c>
      <c r="F169" t="s">
        <v>18</v>
      </c>
      <c r="G169" t="s">
        <v>521</v>
      </c>
      <c r="I169">
        <v>1</v>
      </c>
      <c r="J169">
        <v>52</v>
      </c>
      <c r="K169" t="str">
        <f>IF(tbl_employee_master[[#This Row],[Exit Date]]="","Active","Exited")</f>
        <v>Active</v>
      </c>
      <c r="L169">
        <f ca="1">DATEDIF(tbl_employee_master[[#This Row],[Joining Date]],TODAY(),"Y")</f>
        <v>0</v>
      </c>
    </row>
    <row r="170" spans="1:12" x14ac:dyDescent="0.25">
      <c r="A170" t="s">
        <v>522</v>
      </c>
      <c r="B170" t="s">
        <v>28</v>
      </c>
      <c r="C170" t="s">
        <v>519</v>
      </c>
      <c r="D170">
        <v>1228068</v>
      </c>
      <c r="E170">
        <v>39</v>
      </c>
      <c r="F170" t="s">
        <v>13</v>
      </c>
      <c r="G170" t="s">
        <v>523</v>
      </c>
      <c r="I170">
        <v>5</v>
      </c>
      <c r="J170">
        <v>39</v>
      </c>
      <c r="K170" t="str">
        <f>IF(tbl_employee_master[[#This Row],[Exit Date]]="","Active","Exited")</f>
        <v>Active</v>
      </c>
      <c r="L170">
        <f ca="1">DATEDIF(tbl_employee_master[[#This Row],[Joining Date]],TODAY(),"Y")</f>
        <v>4</v>
      </c>
    </row>
    <row r="171" spans="1:12" x14ac:dyDescent="0.25">
      <c r="A171" t="s">
        <v>524</v>
      </c>
      <c r="B171" t="s">
        <v>39</v>
      </c>
      <c r="C171" t="s">
        <v>525</v>
      </c>
      <c r="D171">
        <v>449713</v>
      </c>
      <c r="E171">
        <v>35</v>
      </c>
      <c r="F171" t="s">
        <v>18</v>
      </c>
      <c r="G171" t="s">
        <v>526</v>
      </c>
      <c r="I171">
        <v>4</v>
      </c>
      <c r="J171">
        <v>55</v>
      </c>
      <c r="K171" t="str">
        <f>IF(tbl_employee_master[[#This Row],[Exit Date]]="","Active","Exited")</f>
        <v>Active</v>
      </c>
      <c r="L171">
        <f ca="1">DATEDIF(tbl_employee_master[[#This Row],[Joining Date]],TODAY(),"Y")</f>
        <v>2</v>
      </c>
    </row>
    <row r="172" spans="1:12" x14ac:dyDescent="0.25">
      <c r="A172" t="s">
        <v>527</v>
      </c>
      <c r="B172" t="s">
        <v>39</v>
      </c>
      <c r="C172" t="s">
        <v>528</v>
      </c>
      <c r="D172">
        <v>1237322</v>
      </c>
      <c r="E172">
        <v>47</v>
      </c>
      <c r="F172" t="s">
        <v>13</v>
      </c>
      <c r="G172" t="s">
        <v>529</v>
      </c>
      <c r="I172">
        <v>3</v>
      </c>
      <c r="J172">
        <v>3</v>
      </c>
      <c r="K172" t="str">
        <f>IF(tbl_employee_master[[#This Row],[Exit Date]]="","Active","Exited")</f>
        <v>Active</v>
      </c>
      <c r="L172">
        <f ca="1">DATEDIF(tbl_employee_master[[#This Row],[Joining Date]],TODAY(),"Y")</f>
        <v>6</v>
      </c>
    </row>
    <row r="173" spans="1:12" x14ac:dyDescent="0.25">
      <c r="A173" t="s">
        <v>530</v>
      </c>
      <c r="B173" t="s">
        <v>16</v>
      </c>
      <c r="C173" t="s">
        <v>57</v>
      </c>
      <c r="D173">
        <v>825138</v>
      </c>
      <c r="E173">
        <v>40</v>
      </c>
      <c r="F173" t="s">
        <v>18</v>
      </c>
      <c r="G173" t="s">
        <v>531</v>
      </c>
      <c r="I173">
        <v>5</v>
      </c>
      <c r="J173">
        <v>30</v>
      </c>
      <c r="K173" t="str">
        <f>IF(tbl_employee_master[[#This Row],[Exit Date]]="","Active","Exited")</f>
        <v>Active</v>
      </c>
      <c r="L173">
        <f ca="1">DATEDIF(tbl_employee_master[[#This Row],[Joining Date]],TODAY(),"Y")</f>
        <v>3</v>
      </c>
    </row>
    <row r="174" spans="1:12" x14ac:dyDescent="0.25">
      <c r="A174" t="s">
        <v>532</v>
      </c>
      <c r="B174" t="s">
        <v>39</v>
      </c>
      <c r="C174" t="s">
        <v>533</v>
      </c>
      <c r="D174">
        <v>1008062</v>
      </c>
      <c r="E174">
        <v>23</v>
      </c>
      <c r="F174" t="s">
        <v>13</v>
      </c>
      <c r="G174" t="s">
        <v>534</v>
      </c>
      <c r="I174">
        <v>2</v>
      </c>
      <c r="J174">
        <v>23</v>
      </c>
      <c r="K174" t="str">
        <f>IF(tbl_employee_master[[#This Row],[Exit Date]]="","Active","Exited")</f>
        <v>Active</v>
      </c>
      <c r="L174">
        <f ca="1">DATEDIF(tbl_employee_master[[#This Row],[Joining Date]],TODAY(),"Y")</f>
        <v>4</v>
      </c>
    </row>
    <row r="175" spans="1:12" x14ac:dyDescent="0.25">
      <c r="A175" t="s">
        <v>535</v>
      </c>
      <c r="B175" t="s">
        <v>39</v>
      </c>
      <c r="C175" t="s">
        <v>536</v>
      </c>
      <c r="D175">
        <v>1409434</v>
      </c>
      <c r="E175">
        <v>48</v>
      </c>
      <c r="F175" t="s">
        <v>18</v>
      </c>
      <c r="G175" t="s">
        <v>537</v>
      </c>
      <c r="I175">
        <v>3</v>
      </c>
      <c r="J175">
        <v>32</v>
      </c>
      <c r="K175" t="str">
        <f>IF(tbl_employee_master[[#This Row],[Exit Date]]="","Active","Exited")</f>
        <v>Active</v>
      </c>
      <c r="L175">
        <f ca="1">DATEDIF(tbl_employee_master[[#This Row],[Joining Date]],TODAY(),"Y")</f>
        <v>2</v>
      </c>
    </row>
    <row r="176" spans="1:12" x14ac:dyDescent="0.25">
      <c r="A176" t="s">
        <v>538</v>
      </c>
      <c r="B176" t="s">
        <v>32</v>
      </c>
      <c r="C176" t="s">
        <v>539</v>
      </c>
      <c r="D176">
        <v>1086084</v>
      </c>
      <c r="E176">
        <v>27</v>
      </c>
      <c r="F176" t="s">
        <v>13</v>
      </c>
      <c r="G176" t="s">
        <v>540</v>
      </c>
      <c r="H176" t="s">
        <v>541</v>
      </c>
      <c r="I176">
        <v>5</v>
      </c>
      <c r="J176">
        <v>52</v>
      </c>
      <c r="K176" t="str">
        <f>IF(tbl_employee_master[[#This Row],[Exit Date]]="","Active","Exited")</f>
        <v>Exited</v>
      </c>
      <c r="L176">
        <f ca="1">DATEDIF(tbl_employee_master[[#This Row],[Joining Date]],TODAY(),"Y")</f>
        <v>4</v>
      </c>
    </row>
    <row r="177" spans="1:12" x14ac:dyDescent="0.25">
      <c r="A177" t="s">
        <v>542</v>
      </c>
      <c r="B177" t="s">
        <v>11</v>
      </c>
      <c r="C177" t="s">
        <v>381</v>
      </c>
      <c r="D177">
        <v>481417</v>
      </c>
      <c r="E177">
        <v>33</v>
      </c>
      <c r="F177" t="s">
        <v>13</v>
      </c>
      <c r="G177" t="s">
        <v>543</v>
      </c>
      <c r="I177">
        <v>5</v>
      </c>
      <c r="J177">
        <v>4</v>
      </c>
      <c r="K177" t="str">
        <f>IF(tbl_employee_master[[#This Row],[Exit Date]]="","Active","Exited")</f>
        <v>Active</v>
      </c>
      <c r="L177">
        <f ca="1">DATEDIF(tbl_employee_master[[#This Row],[Joining Date]],TODAY(),"Y")</f>
        <v>3</v>
      </c>
    </row>
    <row r="178" spans="1:12" x14ac:dyDescent="0.25">
      <c r="A178" t="s">
        <v>544</v>
      </c>
      <c r="B178" t="s">
        <v>24</v>
      </c>
      <c r="C178" t="s">
        <v>545</v>
      </c>
      <c r="D178">
        <v>380581</v>
      </c>
      <c r="E178">
        <v>30</v>
      </c>
      <c r="F178" t="s">
        <v>18</v>
      </c>
      <c r="G178" t="s">
        <v>521</v>
      </c>
      <c r="H178" t="s">
        <v>546</v>
      </c>
      <c r="I178">
        <v>3</v>
      </c>
      <c r="J178">
        <v>4</v>
      </c>
      <c r="K178" t="str">
        <f>IF(tbl_employee_master[[#This Row],[Exit Date]]="","Active","Exited")</f>
        <v>Exited</v>
      </c>
      <c r="L178">
        <f ca="1">DATEDIF(tbl_employee_master[[#This Row],[Joining Date]],TODAY(),"Y")</f>
        <v>2</v>
      </c>
    </row>
    <row r="179" spans="1:12" x14ac:dyDescent="0.25">
      <c r="A179" t="s">
        <v>547</v>
      </c>
      <c r="B179" t="s">
        <v>32</v>
      </c>
      <c r="C179" t="s">
        <v>548</v>
      </c>
      <c r="D179">
        <v>777851</v>
      </c>
      <c r="E179">
        <v>28</v>
      </c>
      <c r="F179" t="s">
        <v>13</v>
      </c>
      <c r="G179" t="s">
        <v>549</v>
      </c>
      <c r="I179">
        <v>2</v>
      </c>
      <c r="J179">
        <v>22</v>
      </c>
      <c r="K179" t="str">
        <f>IF(tbl_employee_master[[#This Row],[Exit Date]]="","Active","Exited")</f>
        <v>Active</v>
      </c>
      <c r="L179">
        <f ca="1">DATEDIF(tbl_employee_master[[#This Row],[Joining Date]],TODAY(),"Y")</f>
        <v>0</v>
      </c>
    </row>
    <row r="180" spans="1:12" x14ac:dyDescent="0.25">
      <c r="A180" t="s">
        <v>550</v>
      </c>
      <c r="B180" t="s">
        <v>11</v>
      </c>
      <c r="C180" t="s">
        <v>551</v>
      </c>
      <c r="D180">
        <v>587895</v>
      </c>
      <c r="E180">
        <v>48</v>
      </c>
      <c r="F180" t="s">
        <v>13</v>
      </c>
      <c r="G180" t="s">
        <v>552</v>
      </c>
      <c r="I180">
        <v>1</v>
      </c>
      <c r="J180">
        <v>57</v>
      </c>
      <c r="K180" t="str">
        <f>IF(tbl_employee_master[[#This Row],[Exit Date]]="","Active","Exited")</f>
        <v>Active</v>
      </c>
      <c r="L180">
        <f ca="1">DATEDIF(tbl_employee_master[[#This Row],[Joining Date]],TODAY(),"Y")</f>
        <v>1</v>
      </c>
    </row>
    <row r="181" spans="1:12" x14ac:dyDescent="0.25">
      <c r="A181" t="s">
        <v>553</v>
      </c>
      <c r="B181" t="s">
        <v>16</v>
      </c>
      <c r="C181" t="s">
        <v>554</v>
      </c>
      <c r="D181">
        <v>1355703</v>
      </c>
      <c r="E181">
        <v>48</v>
      </c>
      <c r="F181" t="s">
        <v>18</v>
      </c>
      <c r="G181" t="s">
        <v>555</v>
      </c>
      <c r="I181">
        <v>2</v>
      </c>
      <c r="J181">
        <v>56</v>
      </c>
      <c r="K181" t="str">
        <f>IF(tbl_employee_master[[#This Row],[Exit Date]]="","Active","Exited")</f>
        <v>Active</v>
      </c>
      <c r="L181">
        <f ca="1">DATEDIF(tbl_employee_master[[#This Row],[Joining Date]],TODAY(),"Y")</f>
        <v>3</v>
      </c>
    </row>
    <row r="182" spans="1:12" x14ac:dyDescent="0.25">
      <c r="A182" t="s">
        <v>556</v>
      </c>
      <c r="B182" t="s">
        <v>24</v>
      </c>
      <c r="C182" t="s">
        <v>557</v>
      </c>
      <c r="D182">
        <v>1735061</v>
      </c>
      <c r="E182">
        <v>32</v>
      </c>
      <c r="F182" t="s">
        <v>18</v>
      </c>
      <c r="G182" t="s">
        <v>558</v>
      </c>
      <c r="I182">
        <v>2</v>
      </c>
      <c r="J182">
        <v>6</v>
      </c>
      <c r="K182" t="str">
        <f>IF(tbl_employee_master[[#This Row],[Exit Date]]="","Active","Exited")</f>
        <v>Active</v>
      </c>
      <c r="L182">
        <f ca="1">DATEDIF(tbl_employee_master[[#This Row],[Joining Date]],TODAY(),"Y")</f>
        <v>5</v>
      </c>
    </row>
    <row r="183" spans="1:12" x14ac:dyDescent="0.25">
      <c r="A183" t="s">
        <v>559</v>
      </c>
      <c r="B183" t="s">
        <v>24</v>
      </c>
      <c r="C183" t="s">
        <v>25</v>
      </c>
      <c r="D183">
        <v>1018654</v>
      </c>
      <c r="E183">
        <v>50</v>
      </c>
      <c r="F183" t="s">
        <v>18</v>
      </c>
      <c r="G183" t="s">
        <v>26</v>
      </c>
      <c r="I183">
        <v>5</v>
      </c>
      <c r="J183">
        <v>21</v>
      </c>
      <c r="K183" t="str">
        <f>IF(tbl_employee_master[[#This Row],[Exit Date]]="","Active","Exited")</f>
        <v>Active</v>
      </c>
      <c r="L183">
        <f ca="1">DATEDIF(tbl_employee_master[[#This Row],[Joining Date]],TODAY(),"Y")</f>
        <v>0</v>
      </c>
    </row>
    <row r="184" spans="1:12" x14ac:dyDescent="0.25">
      <c r="A184" t="s">
        <v>560</v>
      </c>
      <c r="B184" t="s">
        <v>32</v>
      </c>
      <c r="C184" t="s">
        <v>322</v>
      </c>
      <c r="D184">
        <v>808959</v>
      </c>
      <c r="E184">
        <v>49</v>
      </c>
      <c r="F184" t="s">
        <v>18</v>
      </c>
      <c r="G184" t="s">
        <v>434</v>
      </c>
      <c r="I184">
        <v>5</v>
      </c>
      <c r="J184">
        <v>46</v>
      </c>
      <c r="K184" t="str">
        <f>IF(tbl_employee_master[[#This Row],[Exit Date]]="","Active","Exited")</f>
        <v>Active</v>
      </c>
      <c r="L184">
        <f ca="1">DATEDIF(tbl_employee_master[[#This Row],[Joining Date]],TODAY(),"Y")</f>
        <v>3</v>
      </c>
    </row>
    <row r="185" spans="1:12" x14ac:dyDescent="0.25">
      <c r="A185" t="s">
        <v>561</v>
      </c>
      <c r="B185" t="s">
        <v>24</v>
      </c>
      <c r="C185" t="s">
        <v>224</v>
      </c>
      <c r="D185">
        <v>691799</v>
      </c>
      <c r="E185">
        <v>47</v>
      </c>
      <c r="F185" t="s">
        <v>13</v>
      </c>
      <c r="G185" t="s">
        <v>562</v>
      </c>
      <c r="I185">
        <v>3</v>
      </c>
      <c r="J185">
        <v>7</v>
      </c>
      <c r="K185" t="str">
        <f>IF(tbl_employee_master[[#This Row],[Exit Date]]="","Active","Exited")</f>
        <v>Active</v>
      </c>
      <c r="L185">
        <f ca="1">DATEDIF(tbl_employee_master[[#This Row],[Joining Date]],TODAY(),"Y")</f>
        <v>4</v>
      </c>
    </row>
    <row r="186" spans="1:12" x14ac:dyDescent="0.25">
      <c r="A186" t="s">
        <v>563</v>
      </c>
      <c r="B186" t="s">
        <v>28</v>
      </c>
      <c r="C186" t="s">
        <v>191</v>
      </c>
      <c r="D186">
        <v>1348576</v>
      </c>
      <c r="E186">
        <v>45</v>
      </c>
      <c r="F186" t="s">
        <v>18</v>
      </c>
      <c r="G186" t="s">
        <v>564</v>
      </c>
      <c r="I186">
        <v>5</v>
      </c>
      <c r="J186">
        <v>53</v>
      </c>
      <c r="K186" t="str">
        <f>IF(tbl_employee_master[[#This Row],[Exit Date]]="","Active","Exited")</f>
        <v>Active</v>
      </c>
      <c r="L186">
        <f ca="1">DATEDIF(tbl_employee_master[[#This Row],[Joining Date]],TODAY(),"Y")</f>
        <v>3</v>
      </c>
    </row>
    <row r="187" spans="1:12" x14ac:dyDescent="0.25">
      <c r="A187" t="s">
        <v>565</v>
      </c>
      <c r="B187" t="s">
        <v>24</v>
      </c>
      <c r="C187" t="s">
        <v>566</v>
      </c>
      <c r="D187">
        <v>1434870</v>
      </c>
      <c r="E187">
        <v>38</v>
      </c>
      <c r="F187" t="s">
        <v>13</v>
      </c>
      <c r="G187" t="s">
        <v>195</v>
      </c>
      <c r="I187">
        <v>3</v>
      </c>
      <c r="J187">
        <v>21</v>
      </c>
      <c r="K187" t="str">
        <f>IF(tbl_employee_master[[#This Row],[Exit Date]]="","Active","Exited")</f>
        <v>Active</v>
      </c>
      <c r="L187">
        <f ca="1">DATEDIF(tbl_employee_master[[#This Row],[Joining Date]],TODAY(),"Y")</f>
        <v>2</v>
      </c>
    </row>
    <row r="188" spans="1:12" x14ac:dyDescent="0.25">
      <c r="A188" t="s">
        <v>567</v>
      </c>
      <c r="B188" t="s">
        <v>11</v>
      </c>
      <c r="C188" t="s">
        <v>568</v>
      </c>
      <c r="D188">
        <v>1578228</v>
      </c>
      <c r="E188">
        <v>47</v>
      </c>
      <c r="F188" t="s">
        <v>13</v>
      </c>
      <c r="G188" t="s">
        <v>569</v>
      </c>
      <c r="I188">
        <v>2</v>
      </c>
      <c r="J188">
        <v>47</v>
      </c>
      <c r="K188" t="str">
        <f>IF(tbl_employee_master[[#This Row],[Exit Date]]="","Active","Exited")</f>
        <v>Active</v>
      </c>
      <c r="L188">
        <f ca="1">DATEDIF(tbl_employee_master[[#This Row],[Joining Date]],TODAY(),"Y")</f>
        <v>2</v>
      </c>
    </row>
    <row r="189" spans="1:12" x14ac:dyDescent="0.25">
      <c r="A189" t="s">
        <v>570</v>
      </c>
      <c r="B189" t="s">
        <v>24</v>
      </c>
      <c r="C189" t="s">
        <v>571</v>
      </c>
      <c r="D189">
        <v>1071739</v>
      </c>
      <c r="E189">
        <v>38</v>
      </c>
      <c r="F189" t="s">
        <v>13</v>
      </c>
      <c r="G189" t="s">
        <v>572</v>
      </c>
      <c r="I189">
        <v>4</v>
      </c>
      <c r="J189">
        <v>26</v>
      </c>
      <c r="K189" t="str">
        <f>IF(tbl_employee_master[[#This Row],[Exit Date]]="","Active","Exited")</f>
        <v>Active</v>
      </c>
      <c r="L189">
        <f ca="1">DATEDIF(tbl_employee_master[[#This Row],[Joining Date]],TODAY(),"Y")</f>
        <v>1</v>
      </c>
    </row>
    <row r="190" spans="1:12" x14ac:dyDescent="0.25">
      <c r="A190" t="s">
        <v>573</v>
      </c>
      <c r="B190" t="s">
        <v>16</v>
      </c>
      <c r="C190" t="s">
        <v>574</v>
      </c>
      <c r="D190">
        <v>903172</v>
      </c>
      <c r="E190">
        <v>22</v>
      </c>
      <c r="F190" t="s">
        <v>18</v>
      </c>
      <c r="G190" t="s">
        <v>575</v>
      </c>
      <c r="I190">
        <v>4</v>
      </c>
      <c r="J190">
        <v>8</v>
      </c>
      <c r="K190" t="str">
        <f>IF(tbl_employee_master[[#This Row],[Exit Date]]="","Active","Exited")</f>
        <v>Active</v>
      </c>
      <c r="L190">
        <f ca="1">DATEDIF(tbl_employee_master[[#This Row],[Joining Date]],TODAY(),"Y")</f>
        <v>1</v>
      </c>
    </row>
    <row r="191" spans="1:12" x14ac:dyDescent="0.25">
      <c r="A191" t="s">
        <v>576</v>
      </c>
      <c r="B191" t="s">
        <v>11</v>
      </c>
      <c r="C191" t="s">
        <v>186</v>
      </c>
      <c r="D191">
        <v>1767374</v>
      </c>
      <c r="E191">
        <v>41</v>
      </c>
      <c r="F191" t="s">
        <v>13</v>
      </c>
      <c r="G191" t="s">
        <v>577</v>
      </c>
      <c r="H191" t="s">
        <v>48</v>
      </c>
      <c r="I191">
        <v>4</v>
      </c>
      <c r="J191">
        <v>53</v>
      </c>
      <c r="K191" t="str">
        <f>IF(tbl_employee_master[[#This Row],[Exit Date]]="","Active","Exited")</f>
        <v>Exited</v>
      </c>
      <c r="L191">
        <f ca="1">DATEDIF(tbl_employee_master[[#This Row],[Joining Date]],TODAY(),"Y")</f>
        <v>0</v>
      </c>
    </row>
    <row r="192" spans="1:12" x14ac:dyDescent="0.25">
      <c r="A192" t="s">
        <v>578</v>
      </c>
      <c r="B192" t="s">
        <v>11</v>
      </c>
      <c r="C192" t="s">
        <v>579</v>
      </c>
      <c r="D192">
        <v>1310214</v>
      </c>
      <c r="E192">
        <v>31</v>
      </c>
      <c r="F192" t="s">
        <v>13</v>
      </c>
      <c r="G192" t="s">
        <v>580</v>
      </c>
      <c r="I192">
        <v>1</v>
      </c>
      <c r="J192">
        <v>12</v>
      </c>
      <c r="K192" t="str">
        <f>IF(tbl_employee_master[[#This Row],[Exit Date]]="","Active","Exited")</f>
        <v>Active</v>
      </c>
      <c r="L192">
        <f ca="1">DATEDIF(tbl_employee_master[[#This Row],[Joining Date]],TODAY(),"Y")</f>
        <v>4</v>
      </c>
    </row>
    <row r="193" spans="1:12" x14ac:dyDescent="0.25">
      <c r="A193" t="s">
        <v>581</v>
      </c>
      <c r="B193" t="s">
        <v>16</v>
      </c>
      <c r="C193" t="s">
        <v>582</v>
      </c>
      <c r="D193">
        <v>1431494</v>
      </c>
      <c r="E193">
        <v>49</v>
      </c>
      <c r="F193" t="s">
        <v>18</v>
      </c>
      <c r="G193" t="s">
        <v>90</v>
      </c>
      <c r="H193" t="s">
        <v>583</v>
      </c>
      <c r="I193">
        <v>2</v>
      </c>
      <c r="J193">
        <v>5</v>
      </c>
      <c r="K193" t="str">
        <f>IF(tbl_employee_master[[#This Row],[Exit Date]]="","Active","Exited")</f>
        <v>Exited</v>
      </c>
      <c r="L193">
        <f ca="1">DATEDIF(tbl_employee_master[[#This Row],[Joining Date]],TODAY(),"Y")</f>
        <v>1</v>
      </c>
    </row>
    <row r="194" spans="1:12" x14ac:dyDescent="0.25">
      <c r="A194" t="s">
        <v>584</v>
      </c>
      <c r="B194" t="s">
        <v>39</v>
      </c>
      <c r="C194" t="s">
        <v>585</v>
      </c>
      <c r="D194">
        <v>695459</v>
      </c>
      <c r="E194">
        <v>48</v>
      </c>
      <c r="F194" t="s">
        <v>13</v>
      </c>
      <c r="G194" t="s">
        <v>586</v>
      </c>
      <c r="I194">
        <v>3</v>
      </c>
      <c r="J194">
        <v>41</v>
      </c>
      <c r="K194" t="str">
        <f>IF(tbl_employee_master[[#This Row],[Exit Date]]="","Active","Exited")</f>
        <v>Active</v>
      </c>
      <c r="L194">
        <f ca="1">DATEDIF(tbl_employee_master[[#This Row],[Joining Date]],TODAY(),"Y")</f>
        <v>3</v>
      </c>
    </row>
    <row r="195" spans="1:12" x14ac:dyDescent="0.25">
      <c r="A195" t="s">
        <v>587</v>
      </c>
      <c r="B195" t="s">
        <v>28</v>
      </c>
      <c r="C195" t="s">
        <v>588</v>
      </c>
      <c r="D195">
        <v>376445</v>
      </c>
      <c r="E195">
        <v>38</v>
      </c>
      <c r="F195" t="s">
        <v>18</v>
      </c>
      <c r="G195" t="s">
        <v>589</v>
      </c>
      <c r="H195" t="s">
        <v>590</v>
      </c>
      <c r="I195">
        <v>4</v>
      </c>
      <c r="J195">
        <v>30</v>
      </c>
      <c r="K195" t="str">
        <f>IF(tbl_employee_master[[#This Row],[Exit Date]]="","Active","Exited")</f>
        <v>Exited</v>
      </c>
      <c r="L195">
        <f ca="1">DATEDIF(tbl_employee_master[[#This Row],[Joining Date]],TODAY(),"Y")</f>
        <v>5</v>
      </c>
    </row>
    <row r="196" spans="1:12" x14ac:dyDescent="0.25">
      <c r="A196" t="s">
        <v>591</v>
      </c>
      <c r="B196" t="s">
        <v>24</v>
      </c>
      <c r="C196" t="s">
        <v>592</v>
      </c>
      <c r="D196">
        <v>1093495</v>
      </c>
      <c r="E196">
        <v>33</v>
      </c>
      <c r="F196" t="s">
        <v>18</v>
      </c>
      <c r="G196" t="s">
        <v>189</v>
      </c>
      <c r="I196">
        <v>4</v>
      </c>
      <c r="J196">
        <v>29</v>
      </c>
      <c r="K196" t="str">
        <f>IF(tbl_employee_master[[#This Row],[Exit Date]]="","Active","Exited")</f>
        <v>Active</v>
      </c>
      <c r="L196">
        <f ca="1">DATEDIF(tbl_employee_master[[#This Row],[Joining Date]],TODAY(),"Y")</f>
        <v>2</v>
      </c>
    </row>
    <row r="197" spans="1:12" x14ac:dyDescent="0.25">
      <c r="A197" t="s">
        <v>593</v>
      </c>
      <c r="B197" t="s">
        <v>59</v>
      </c>
      <c r="C197" t="s">
        <v>594</v>
      </c>
      <c r="D197">
        <v>1644015</v>
      </c>
      <c r="E197">
        <v>50</v>
      </c>
      <c r="F197" t="s">
        <v>13</v>
      </c>
      <c r="G197" t="s">
        <v>595</v>
      </c>
      <c r="I197">
        <v>2</v>
      </c>
      <c r="J197">
        <v>51</v>
      </c>
      <c r="K197" t="str">
        <f>IF(tbl_employee_master[[#This Row],[Exit Date]]="","Active","Exited")</f>
        <v>Active</v>
      </c>
      <c r="L197">
        <f ca="1">DATEDIF(tbl_employee_master[[#This Row],[Joining Date]],TODAY(),"Y")</f>
        <v>5</v>
      </c>
    </row>
    <row r="198" spans="1:12" x14ac:dyDescent="0.25">
      <c r="A198" t="s">
        <v>596</v>
      </c>
      <c r="B198" t="s">
        <v>24</v>
      </c>
      <c r="C198" t="s">
        <v>597</v>
      </c>
      <c r="D198">
        <v>1700109</v>
      </c>
      <c r="E198">
        <v>49</v>
      </c>
      <c r="F198" t="s">
        <v>13</v>
      </c>
      <c r="G198" t="s">
        <v>598</v>
      </c>
      <c r="I198">
        <v>2</v>
      </c>
      <c r="J198">
        <v>23</v>
      </c>
      <c r="K198" t="str">
        <f>IF(tbl_employee_master[[#This Row],[Exit Date]]="","Active","Exited")</f>
        <v>Active</v>
      </c>
      <c r="L198">
        <f ca="1">DATEDIF(tbl_employee_master[[#This Row],[Joining Date]],TODAY(),"Y")</f>
        <v>5</v>
      </c>
    </row>
    <row r="199" spans="1:12" x14ac:dyDescent="0.25">
      <c r="A199" t="s">
        <v>599</v>
      </c>
      <c r="B199" t="s">
        <v>24</v>
      </c>
      <c r="C199" t="s">
        <v>600</v>
      </c>
      <c r="D199">
        <v>893807</v>
      </c>
      <c r="E199">
        <v>23</v>
      </c>
      <c r="F199" t="s">
        <v>13</v>
      </c>
      <c r="G199" t="s">
        <v>601</v>
      </c>
      <c r="I199">
        <v>2</v>
      </c>
      <c r="J199">
        <v>17</v>
      </c>
      <c r="K199" t="str">
        <f>IF(tbl_employee_master[[#This Row],[Exit Date]]="","Active","Exited")</f>
        <v>Active</v>
      </c>
      <c r="L199">
        <f ca="1">DATEDIF(tbl_employee_master[[#This Row],[Joining Date]],TODAY(),"Y")</f>
        <v>3</v>
      </c>
    </row>
    <row r="200" spans="1:12" x14ac:dyDescent="0.25">
      <c r="A200" t="s">
        <v>602</v>
      </c>
      <c r="B200" t="s">
        <v>32</v>
      </c>
      <c r="C200" t="s">
        <v>603</v>
      </c>
      <c r="D200">
        <v>361380</v>
      </c>
      <c r="E200">
        <v>49</v>
      </c>
      <c r="F200" t="s">
        <v>18</v>
      </c>
      <c r="G200" t="s">
        <v>604</v>
      </c>
      <c r="I200">
        <v>5</v>
      </c>
      <c r="J200">
        <v>56</v>
      </c>
      <c r="K200" t="str">
        <f>IF(tbl_employee_master[[#This Row],[Exit Date]]="","Active","Exited")</f>
        <v>Active</v>
      </c>
      <c r="L200">
        <f ca="1">DATEDIF(tbl_employee_master[[#This Row],[Joining Date]],TODAY(),"Y")</f>
        <v>2</v>
      </c>
    </row>
    <row r="201" spans="1:12" x14ac:dyDescent="0.25">
      <c r="A201" t="s">
        <v>605</v>
      </c>
      <c r="B201" t="s">
        <v>11</v>
      </c>
      <c r="C201" t="s">
        <v>606</v>
      </c>
      <c r="D201">
        <v>1539516</v>
      </c>
      <c r="E201">
        <v>47</v>
      </c>
      <c r="F201" t="s">
        <v>18</v>
      </c>
      <c r="G201" t="s">
        <v>607</v>
      </c>
      <c r="I201">
        <v>5</v>
      </c>
      <c r="J201">
        <v>26</v>
      </c>
      <c r="K201" t="str">
        <f>IF(tbl_employee_master[[#This Row],[Exit Date]]="","Active","Exited")</f>
        <v>Active</v>
      </c>
      <c r="L201">
        <f ca="1">DATEDIF(tbl_employee_master[[#This Row],[Joining Date]],TODAY(),"Y")</f>
        <v>4</v>
      </c>
    </row>
    <row r="202" spans="1:12" x14ac:dyDescent="0.25">
      <c r="A202" t="s">
        <v>608</v>
      </c>
      <c r="B202" t="s">
        <v>11</v>
      </c>
      <c r="C202" t="s">
        <v>609</v>
      </c>
      <c r="D202">
        <v>1151729</v>
      </c>
      <c r="E202">
        <v>47</v>
      </c>
      <c r="F202" t="s">
        <v>13</v>
      </c>
      <c r="G202" t="s">
        <v>610</v>
      </c>
      <c r="H202" t="s">
        <v>48</v>
      </c>
      <c r="I202">
        <v>1</v>
      </c>
      <c r="J202">
        <v>59</v>
      </c>
      <c r="K202" t="str">
        <f>IF(tbl_employee_master[[#This Row],[Exit Date]]="","Active","Exited")</f>
        <v>Exited</v>
      </c>
      <c r="L202">
        <f ca="1">DATEDIF(tbl_employee_master[[#This Row],[Joining Date]],TODAY(),"Y")</f>
        <v>0</v>
      </c>
    </row>
    <row r="203" spans="1:12" x14ac:dyDescent="0.25">
      <c r="A203" t="s">
        <v>611</v>
      </c>
      <c r="B203" t="s">
        <v>28</v>
      </c>
      <c r="C203" t="s">
        <v>612</v>
      </c>
      <c r="D203">
        <v>1464149</v>
      </c>
      <c r="E203">
        <v>36</v>
      </c>
      <c r="F203" t="s">
        <v>13</v>
      </c>
      <c r="G203" t="s">
        <v>613</v>
      </c>
      <c r="I203">
        <v>3</v>
      </c>
      <c r="J203">
        <v>37</v>
      </c>
      <c r="K203" t="str">
        <f>IF(tbl_employee_master[[#This Row],[Exit Date]]="","Active","Exited")</f>
        <v>Active</v>
      </c>
      <c r="L203">
        <f ca="1">DATEDIF(tbl_employee_master[[#This Row],[Joining Date]],TODAY(),"Y")</f>
        <v>3</v>
      </c>
    </row>
    <row r="204" spans="1:12" x14ac:dyDescent="0.25">
      <c r="A204" t="s">
        <v>614</v>
      </c>
      <c r="B204" t="s">
        <v>24</v>
      </c>
      <c r="C204" t="s">
        <v>583</v>
      </c>
      <c r="D204">
        <v>1524068</v>
      </c>
      <c r="E204">
        <v>26</v>
      </c>
      <c r="F204" t="s">
        <v>18</v>
      </c>
      <c r="G204" t="s">
        <v>615</v>
      </c>
      <c r="I204">
        <v>5</v>
      </c>
      <c r="J204">
        <v>42</v>
      </c>
      <c r="K204" t="str">
        <f>IF(tbl_employee_master[[#This Row],[Exit Date]]="","Active","Exited")</f>
        <v>Active</v>
      </c>
      <c r="L204">
        <f ca="1">DATEDIF(tbl_employee_master[[#This Row],[Joining Date]],TODAY(),"Y")</f>
        <v>0</v>
      </c>
    </row>
    <row r="205" spans="1:12" x14ac:dyDescent="0.25">
      <c r="A205" t="s">
        <v>616</v>
      </c>
      <c r="B205" t="s">
        <v>59</v>
      </c>
      <c r="C205" t="s">
        <v>617</v>
      </c>
      <c r="D205">
        <v>528529</v>
      </c>
      <c r="E205">
        <v>45</v>
      </c>
      <c r="F205" t="s">
        <v>13</v>
      </c>
      <c r="G205" t="s">
        <v>618</v>
      </c>
      <c r="I205">
        <v>2</v>
      </c>
      <c r="J205">
        <v>2</v>
      </c>
      <c r="K205" t="str">
        <f>IF(tbl_employee_master[[#This Row],[Exit Date]]="","Active","Exited")</f>
        <v>Active</v>
      </c>
      <c r="L205">
        <f ca="1">DATEDIF(tbl_employee_master[[#This Row],[Joining Date]],TODAY(),"Y")</f>
        <v>4</v>
      </c>
    </row>
    <row r="206" spans="1:12" x14ac:dyDescent="0.25">
      <c r="A206" t="s">
        <v>619</v>
      </c>
      <c r="B206" t="s">
        <v>32</v>
      </c>
      <c r="C206" t="s">
        <v>620</v>
      </c>
      <c r="D206">
        <v>717019</v>
      </c>
      <c r="E206">
        <v>23</v>
      </c>
      <c r="F206" t="s">
        <v>13</v>
      </c>
      <c r="G206" t="s">
        <v>621</v>
      </c>
      <c r="I206">
        <v>5</v>
      </c>
      <c r="J206">
        <v>16</v>
      </c>
      <c r="K206" t="str">
        <f>IF(tbl_employee_master[[#This Row],[Exit Date]]="","Active","Exited")</f>
        <v>Active</v>
      </c>
      <c r="L206">
        <f ca="1">DATEDIF(tbl_employee_master[[#This Row],[Joining Date]],TODAY(),"Y")</f>
        <v>1</v>
      </c>
    </row>
    <row r="207" spans="1:12" x14ac:dyDescent="0.25">
      <c r="A207" t="s">
        <v>622</v>
      </c>
      <c r="B207" t="s">
        <v>16</v>
      </c>
      <c r="C207" t="s">
        <v>623</v>
      </c>
      <c r="D207">
        <v>1226543</v>
      </c>
      <c r="E207">
        <v>48</v>
      </c>
      <c r="F207" t="s">
        <v>13</v>
      </c>
      <c r="G207" t="s">
        <v>624</v>
      </c>
      <c r="I207">
        <v>2</v>
      </c>
      <c r="J207">
        <v>31</v>
      </c>
      <c r="K207" t="str">
        <f>IF(tbl_employee_master[[#This Row],[Exit Date]]="","Active","Exited")</f>
        <v>Active</v>
      </c>
      <c r="L207">
        <f ca="1">DATEDIF(tbl_employee_master[[#This Row],[Joining Date]],TODAY(),"Y")</f>
        <v>1</v>
      </c>
    </row>
    <row r="208" spans="1:12" x14ac:dyDescent="0.25">
      <c r="A208" t="s">
        <v>625</v>
      </c>
      <c r="B208" t="s">
        <v>28</v>
      </c>
      <c r="C208" t="s">
        <v>626</v>
      </c>
      <c r="D208">
        <v>1187841</v>
      </c>
      <c r="E208">
        <v>28</v>
      </c>
      <c r="F208" t="s">
        <v>13</v>
      </c>
      <c r="G208" t="s">
        <v>188</v>
      </c>
      <c r="I208">
        <v>4</v>
      </c>
      <c r="J208">
        <v>49</v>
      </c>
      <c r="K208" t="str">
        <f>IF(tbl_employee_master[[#This Row],[Exit Date]]="","Active","Exited")</f>
        <v>Active</v>
      </c>
      <c r="L208">
        <f ca="1">DATEDIF(tbl_employee_master[[#This Row],[Joining Date]],TODAY(),"Y")</f>
        <v>5</v>
      </c>
    </row>
    <row r="209" spans="1:12" x14ac:dyDescent="0.25">
      <c r="A209" t="s">
        <v>627</v>
      </c>
      <c r="B209" t="s">
        <v>28</v>
      </c>
      <c r="C209" t="s">
        <v>626</v>
      </c>
      <c r="D209">
        <v>1319473</v>
      </c>
      <c r="E209">
        <v>28</v>
      </c>
      <c r="F209" t="s">
        <v>18</v>
      </c>
      <c r="G209" t="s">
        <v>628</v>
      </c>
      <c r="H209" t="s">
        <v>629</v>
      </c>
      <c r="I209">
        <v>5</v>
      </c>
      <c r="J209">
        <v>41</v>
      </c>
      <c r="K209" t="str">
        <f>IF(tbl_employee_master[[#This Row],[Exit Date]]="","Active","Exited")</f>
        <v>Exited</v>
      </c>
      <c r="L209">
        <f ca="1">DATEDIF(tbl_employee_master[[#This Row],[Joining Date]],TODAY(),"Y")</f>
        <v>5</v>
      </c>
    </row>
    <row r="210" spans="1:12" x14ac:dyDescent="0.25">
      <c r="A210" t="s">
        <v>630</v>
      </c>
      <c r="B210" t="s">
        <v>59</v>
      </c>
      <c r="C210" t="s">
        <v>631</v>
      </c>
      <c r="D210">
        <v>1504685</v>
      </c>
      <c r="E210">
        <v>39</v>
      </c>
      <c r="F210" t="s">
        <v>18</v>
      </c>
      <c r="G210" t="s">
        <v>140</v>
      </c>
      <c r="I210">
        <v>3</v>
      </c>
      <c r="J210">
        <v>36</v>
      </c>
      <c r="K210" t="str">
        <f>IF(tbl_employee_master[[#This Row],[Exit Date]]="","Active","Exited")</f>
        <v>Active</v>
      </c>
      <c r="L210">
        <f ca="1">DATEDIF(tbl_employee_master[[#This Row],[Joining Date]],TODAY(),"Y")</f>
        <v>3</v>
      </c>
    </row>
    <row r="211" spans="1:12" x14ac:dyDescent="0.25">
      <c r="A211" t="s">
        <v>632</v>
      </c>
      <c r="B211" t="s">
        <v>39</v>
      </c>
      <c r="C211" t="s">
        <v>633</v>
      </c>
      <c r="D211">
        <v>1339710</v>
      </c>
      <c r="E211">
        <v>47</v>
      </c>
      <c r="F211" t="s">
        <v>18</v>
      </c>
      <c r="G211" t="s">
        <v>146</v>
      </c>
      <c r="I211">
        <v>2</v>
      </c>
      <c r="J211">
        <v>31</v>
      </c>
      <c r="K211" t="str">
        <f>IF(tbl_employee_master[[#This Row],[Exit Date]]="","Active","Exited")</f>
        <v>Active</v>
      </c>
      <c r="L211">
        <f ca="1">DATEDIF(tbl_employee_master[[#This Row],[Joining Date]],TODAY(),"Y")</f>
        <v>3</v>
      </c>
    </row>
    <row r="212" spans="1:12" x14ac:dyDescent="0.25">
      <c r="A212" t="s">
        <v>634</v>
      </c>
      <c r="B212" t="s">
        <v>24</v>
      </c>
      <c r="C212" t="s">
        <v>635</v>
      </c>
      <c r="D212">
        <v>982161</v>
      </c>
      <c r="E212">
        <v>30</v>
      </c>
      <c r="F212" t="s">
        <v>13</v>
      </c>
      <c r="G212" t="s">
        <v>393</v>
      </c>
      <c r="I212">
        <v>5</v>
      </c>
      <c r="J212">
        <v>56</v>
      </c>
      <c r="K212" t="str">
        <f>IF(tbl_employee_master[[#This Row],[Exit Date]]="","Active","Exited")</f>
        <v>Active</v>
      </c>
      <c r="L212">
        <f ca="1">DATEDIF(tbl_employee_master[[#This Row],[Joining Date]],TODAY(),"Y")</f>
        <v>4</v>
      </c>
    </row>
    <row r="213" spans="1:12" x14ac:dyDescent="0.25">
      <c r="A213" t="s">
        <v>636</v>
      </c>
      <c r="B213" t="s">
        <v>16</v>
      </c>
      <c r="C213" t="s">
        <v>637</v>
      </c>
      <c r="D213">
        <v>1347971</v>
      </c>
      <c r="E213">
        <v>40</v>
      </c>
      <c r="F213" t="s">
        <v>13</v>
      </c>
      <c r="G213" t="s">
        <v>638</v>
      </c>
      <c r="I213">
        <v>1</v>
      </c>
      <c r="J213">
        <v>41</v>
      </c>
      <c r="K213" t="str">
        <f>IF(tbl_employee_master[[#This Row],[Exit Date]]="","Active","Exited")</f>
        <v>Active</v>
      </c>
      <c r="L213">
        <f ca="1">DATEDIF(tbl_employee_master[[#This Row],[Joining Date]],TODAY(),"Y")</f>
        <v>4</v>
      </c>
    </row>
    <row r="214" spans="1:12" x14ac:dyDescent="0.25">
      <c r="A214" t="s">
        <v>639</v>
      </c>
      <c r="B214" t="s">
        <v>11</v>
      </c>
      <c r="C214" t="s">
        <v>640</v>
      </c>
      <c r="D214">
        <v>968856</v>
      </c>
      <c r="E214">
        <v>32</v>
      </c>
      <c r="F214" t="s">
        <v>18</v>
      </c>
      <c r="G214" t="s">
        <v>641</v>
      </c>
      <c r="I214">
        <v>1</v>
      </c>
      <c r="J214">
        <v>35</v>
      </c>
      <c r="K214" t="str">
        <f>IF(tbl_employee_master[[#This Row],[Exit Date]]="","Active","Exited")</f>
        <v>Active</v>
      </c>
      <c r="L214">
        <f ca="1">DATEDIF(tbl_employee_master[[#This Row],[Joining Date]],TODAY(),"Y")</f>
        <v>5</v>
      </c>
    </row>
    <row r="215" spans="1:12" x14ac:dyDescent="0.25">
      <c r="A215" t="s">
        <v>642</v>
      </c>
      <c r="B215" t="s">
        <v>59</v>
      </c>
      <c r="C215" t="s">
        <v>643</v>
      </c>
      <c r="D215">
        <v>1344887</v>
      </c>
      <c r="E215">
        <v>39</v>
      </c>
      <c r="F215" t="s">
        <v>18</v>
      </c>
      <c r="G215" t="s">
        <v>306</v>
      </c>
      <c r="H215" t="s">
        <v>48</v>
      </c>
      <c r="I215">
        <v>1</v>
      </c>
      <c r="J215">
        <v>35</v>
      </c>
      <c r="K215" t="str">
        <f>IF(tbl_employee_master[[#This Row],[Exit Date]]="","Active","Exited")</f>
        <v>Exited</v>
      </c>
      <c r="L215">
        <f ca="1">DATEDIF(tbl_employee_master[[#This Row],[Joining Date]],TODAY(),"Y")</f>
        <v>2</v>
      </c>
    </row>
    <row r="216" spans="1:12" x14ac:dyDescent="0.25">
      <c r="A216" t="s">
        <v>644</v>
      </c>
      <c r="B216" t="s">
        <v>28</v>
      </c>
      <c r="C216" t="s">
        <v>645</v>
      </c>
      <c r="D216">
        <v>1390648</v>
      </c>
      <c r="E216">
        <v>47</v>
      </c>
      <c r="F216" t="s">
        <v>13</v>
      </c>
      <c r="G216" t="s">
        <v>646</v>
      </c>
      <c r="I216">
        <v>5</v>
      </c>
      <c r="J216">
        <v>37</v>
      </c>
      <c r="K216" t="str">
        <f>IF(tbl_employee_master[[#This Row],[Exit Date]]="","Active","Exited")</f>
        <v>Active</v>
      </c>
      <c r="L216">
        <f ca="1">DATEDIF(tbl_employee_master[[#This Row],[Joining Date]],TODAY(),"Y")</f>
        <v>0</v>
      </c>
    </row>
    <row r="217" spans="1:12" x14ac:dyDescent="0.25">
      <c r="A217" t="s">
        <v>647</v>
      </c>
      <c r="B217" t="s">
        <v>32</v>
      </c>
      <c r="C217" t="s">
        <v>648</v>
      </c>
      <c r="D217">
        <v>1117536</v>
      </c>
      <c r="E217">
        <v>26</v>
      </c>
      <c r="F217" t="s">
        <v>13</v>
      </c>
      <c r="G217" t="s">
        <v>649</v>
      </c>
      <c r="I217">
        <v>2</v>
      </c>
      <c r="J217">
        <v>42</v>
      </c>
      <c r="K217" t="str">
        <f>IF(tbl_employee_master[[#This Row],[Exit Date]]="","Active","Exited")</f>
        <v>Active</v>
      </c>
      <c r="L217">
        <f ca="1">DATEDIF(tbl_employee_master[[#This Row],[Joining Date]],TODAY(),"Y")</f>
        <v>0</v>
      </c>
    </row>
    <row r="218" spans="1:12" x14ac:dyDescent="0.25">
      <c r="A218" t="s">
        <v>650</v>
      </c>
      <c r="B218" t="s">
        <v>16</v>
      </c>
      <c r="C218" t="s">
        <v>651</v>
      </c>
      <c r="D218">
        <v>1795179</v>
      </c>
      <c r="E218">
        <v>26</v>
      </c>
      <c r="F218" t="s">
        <v>13</v>
      </c>
      <c r="G218" t="s">
        <v>652</v>
      </c>
      <c r="I218">
        <v>2</v>
      </c>
      <c r="J218">
        <v>23</v>
      </c>
      <c r="K218" t="str">
        <f>IF(tbl_employee_master[[#This Row],[Exit Date]]="","Active","Exited")</f>
        <v>Active</v>
      </c>
      <c r="L218">
        <f ca="1">DATEDIF(tbl_employee_master[[#This Row],[Joining Date]],TODAY(),"Y")</f>
        <v>6</v>
      </c>
    </row>
    <row r="219" spans="1:12" x14ac:dyDescent="0.25">
      <c r="A219" t="s">
        <v>653</v>
      </c>
      <c r="B219" t="s">
        <v>16</v>
      </c>
      <c r="C219" t="s">
        <v>654</v>
      </c>
      <c r="D219">
        <v>801975</v>
      </c>
      <c r="E219">
        <v>22</v>
      </c>
      <c r="F219" t="s">
        <v>13</v>
      </c>
      <c r="G219" t="s">
        <v>156</v>
      </c>
      <c r="I219">
        <v>1</v>
      </c>
      <c r="J219">
        <v>23</v>
      </c>
      <c r="K219" t="str">
        <f>IF(tbl_employee_master[[#This Row],[Exit Date]]="","Active","Exited")</f>
        <v>Active</v>
      </c>
      <c r="L219">
        <f ca="1">DATEDIF(tbl_employee_master[[#This Row],[Joining Date]],TODAY(),"Y")</f>
        <v>2</v>
      </c>
    </row>
    <row r="220" spans="1:12" x14ac:dyDescent="0.25">
      <c r="A220" t="s">
        <v>655</v>
      </c>
      <c r="B220" t="s">
        <v>28</v>
      </c>
      <c r="C220" t="s">
        <v>656</v>
      </c>
      <c r="D220">
        <v>975229</v>
      </c>
      <c r="E220">
        <v>34</v>
      </c>
      <c r="F220" t="s">
        <v>18</v>
      </c>
      <c r="G220" t="s">
        <v>657</v>
      </c>
      <c r="H220" t="s">
        <v>658</v>
      </c>
      <c r="I220">
        <v>4</v>
      </c>
      <c r="J220">
        <v>53</v>
      </c>
      <c r="K220" t="str">
        <f>IF(tbl_employee_master[[#This Row],[Exit Date]]="","Active","Exited")</f>
        <v>Exited</v>
      </c>
      <c r="L220">
        <f ca="1">DATEDIF(tbl_employee_master[[#This Row],[Joining Date]],TODAY(),"Y")</f>
        <v>6</v>
      </c>
    </row>
    <row r="221" spans="1:12" x14ac:dyDescent="0.25">
      <c r="A221" t="s">
        <v>659</v>
      </c>
      <c r="B221" t="s">
        <v>16</v>
      </c>
      <c r="C221" t="s">
        <v>660</v>
      </c>
      <c r="D221">
        <v>1739216</v>
      </c>
      <c r="E221">
        <v>47</v>
      </c>
      <c r="F221" t="s">
        <v>13</v>
      </c>
      <c r="G221" t="s">
        <v>661</v>
      </c>
      <c r="I221">
        <v>1</v>
      </c>
      <c r="J221">
        <v>47</v>
      </c>
      <c r="K221" t="str">
        <f>IF(tbl_employee_master[[#This Row],[Exit Date]]="","Active","Exited")</f>
        <v>Active</v>
      </c>
      <c r="L221">
        <f ca="1">DATEDIF(tbl_employee_master[[#This Row],[Joining Date]],TODAY(),"Y")</f>
        <v>2</v>
      </c>
    </row>
    <row r="222" spans="1:12" x14ac:dyDescent="0.25">
      <c r="A222" t="s">
        <v>662</v>
      </c>
      <c r="B222" t="s">
        <v>28</v>
      </c>
      <c r="C222" t="s">
        <v>395</v>
      </c>
      <c r="D222">
        <v>603412</v>
      </c>
      <c r="E222">
        <v>48</v>
      </c>
      <c r="F222" t="s">
        <v>13</v>
      </c>
      <c r="G222" t="s">
        <v>396</v>
      </c>
      <c r="I222">
        <v>4</v>
      </c>
      <c r="J222">
        <v>44</v>
      </c>
      <c r="K222" t="str">
        <f>IF(tbl_employee_master[[#This Row],[Exit Date]]="","Active","Exited")</f>
        <v>Active</v>
      </c>
      <c r="L222">
        <f ca="1">DATEDIF(tbl_employee_master[[#This Row],[Joining Date]],TODAY(),"Y")</f>
        <v>0</v>
      </c>
    </row>
    <row r="223" spans="1:12" x14ac:dyDescent="0.25">
      <c r="A223" t="s">
        <v>663</v>
      </c>
      <c r="B223" t="s">
        <v>32</v>
      </c>
      <c r="C223" t="s">
        <v>664</v>
      </c>
      <c r="D223">
        <v>940182</v>
      </c>
      <c r="E223">
        <v>49</v>
      </c>
      <c r="F223" t="s">
        <v>13</v>
      </c>
      <c r="G223" t="s">
        <v>14</v>
      </c>
      <c r="H223" t="s">
        <v>665</v>
      </c>
      <c r="I223">
        <v>1</v>
      </c>
      <c r="J223">
        <v>10</v>
      </c>
      <c r="K223" t="str">
        <f>IF(tbl_employee_master[[#This Row],[Exit Date]]="","Active","Exited")</f>
        <v>Exited</v>
      </c>
      <c r="L223">
        <f ca="1">DATEDIF(tbl_employee_master[[#This Row],[Joining Date]],TODAY(),"Y")</f>
        <v>3</v>
      </c>
    </row>
    <row r="224" spans="1:12" x14ac:dyDescent="0.25">
      <c r="A224" t="s">
        <v>666</v>
      </c>
      <c r="B224" t="s">
        <v>11</v>
      </c>
      <c r="C224" t="s">
        <v>194</v>
      </c>
      <c r="D224">
        <v>1431332</v>
      </c>
      <c r="E224">
        <v>48</v>
      </c>
      <c r="F224" t="s">
        <v>13</v>
      </c>
      <c r="G224" t="s">
        <v>667</v>
      </c>
      <c r="H224" t="s">
        <v>668</v>
      </c>
      <c r="I224">
        <v>4</v>
      </c>
      <c r="J224">
        <v>57</v>
      </c>
      <c r="K224" t="str">
        <f>IF(tbl_employee_master[[#This Row],[Exit Date]]="","Active","Exited")</f>
        <v>Exited</v>
      </c>
      <c r="L224">
        <f ca="1">DATEDIF(tbl_employee_master[[#This Row],[Joining Date]],TODAY(),"Y")</f>
        <v>4</v>
      </c>
    </row>
    <row r="225" spans="1:12" x14ac:dyDescent="0.25">
      <c r="A225" t="s">
        <v>669</v>
      </c>
      <c r="B225" t="s">
        <v>28</v>
      </c>
      <c r="C225" t="s">
        <v>670</v>
      </c>
      <c r="D225">
        <v>715241</v>
      </c>
      <c r="E225">
        <v>47</v>
      </c>
      <c r="F225" t="s">
        <v>18</v>
      </c>
      <c r="G225" t="s">
        <v>671</v>
      </c>
      <c r="I225">
        <v>2</v>
      </c>
      <c r="J225">
        <v>17</v>
      </c>
      <c r="K225" t="str">
        <f>IF(tbl_employee_master[[#This Row],[Exit Date]]="","Active","Exited")</f>
        <v>Active</v>
      </c>
      <c r="L225">
        <f ca="1">DATEDIF(tbl_employee_master[[#This Row],[Joining Date]],TODAY(),"Y")</f>
        <v>1</v>
      </c>
    </row>
    <row r="226" spans="1:12" x14ac:dyDescent="0.25">
      <c r="A226" t="s">
        <v>672</v>
      </c>
      <c r="B226" t="s">
        <v>16</v>
      </c>
      <c r="C226" t="s">
        <v>491</v>
      </c>
      <c r="D226">
        <v>837352</v>
      </c>
      <c r="E226">
        <v>24</v>
      </c>
      <c r="F226" t="s">
        <v>13</v>
      </c>
      <c r="G226" t="s">
        <v>673</v>
      </c>
      <c r="I226">
        <v>3</v>
      </c>
      <c r="J226">
        <v>11</v>
      </c>
      <c r="K226" t="str">
        <f>IF(tbl_employee_master[[#This Row],[Exit Date]]="","Active","Exited")</f>
        <v>Active</v>
      </c>
      <c r="L226">
        <f ca="1">DATEDIF(tbl_employee_master[[#This Row],[Joining Date]],TODAY(),"Y")</f>
        <v>0</v>
      </c>
    </row>
    <row r="227" spans="1:12" x14ac:dyDescent="0.25">
      <c r="A227" t="s">
        <v>674</v>
      </c>
      <c r="B227" t="s">
        <v>59</v>
      </c>
      <c r="C227" t="s">
        <v>675</v>
      </c>
      <c r="D227">
        <v>934503</v>
      </c>
      <c r="E227">
        <v>37</v>
      </c>
      <c r="F227" t="s">
        <v>13</v>
      </c>
      <c r="G227" t="s">
        <v>676</v>
      </c>
      <c r="I227">
        <v>5</v>
      </c>
      <c r="J227">
        <v>8</v>
      </c>
      <c r="K227" t="str">
        <f>IF(tbl_employee_master[[#This Row],[Exit Date]]="","Active","Exited")</f>
        <v>Active</v>
      </c>
      <c r="L227">
        <f ca="1">DATEDIF(tbl_employee_master[[#This Row],[Joining Date]],TODAY(),"Y")</f>
        <v>3</v>
      </c>
    </row>
    <row r="228" spans="1:12" x14ac:dyDescent="0.25">
      <c r="A228" t="s">
        <v>677</v>
      </c>
      <c r="B228" t="s">
        <v>24</v>
      </c>
      <c r="C228" t="s">
        <v>678</v>
      </c>
      <c r="D228">
        <v>1657008</v>
      </c>
      <c r="E228">
        <v>36</v>
      </c>
      <c r="F228" t="s">
        <v>13</v>
      </c>
      <c r="G228" t="s">
        <v>679</v>
      </c>
      <c r="I228">
        <v>5</v>
      </c>
      <c r="J228">
        <v>50</v>
      </c>
      <c r="K228" t="str">
        <f>IF(tbl_employee_master[[#This Row],[Exit Date]]="","Active","Exited")</f>
        <v>Active</v>
      </c>
      <c r="L228">
        <f ca="1">DATEDIF(tbl_employee_master[[#This Row],[Joining Date]],TODAY(),"Y")</f>
        <v>1</v>
      </c>
    </row>
    <row r="229" spans="1:12" x14ac:dyDescent="0.25">
      <c r="A229" t="s">
        <v>680</v>
      </c>
      <c r="B229" t="s">
        <v>11</v>
      </c>
      <c r="C229" t="s">
        <v>681</v>
      </c>
      <c r="D229">
        <v>1276631</v>
      </c>
      <c r="E229">
        <v>25</v>
      </c>
      <c r="F229" t="s">
        <v>13</v>
      </c>
      <c r="G229" t="s">
        <v>682</v>
      </c>
      <c r="H229" t="s">
        <v>683</v>
      </c>
      <c r="I229">
        <v>4</v>
      </c>
      <c r="J229">
        <v>33</v>
      </c>
      <c r="K229" t="str">
        <f>IF(tbl_employee_master[[#This Row],[Exit Date]]="","Active","Exited")</f>
        <v>Exited</v>
      </c>
      <c r="L229">
        <f ca="1">DATEDIF(tbl_employee_master[[#This Row],[Joining Date]],TODAY(),"Y")</f>
        <v>2</v>
      </c>
    </row>
    <row r="230" spans="1:12" x14ac:dyDescent="0.25">
      <c r="A230" t="s">
        <v>684</v>
      </c>
      <c r="B230" t="s">
        <v>24</v>
      </c>
      <c r="C230" t="s">
        <v>685</v>
      </c>
      <c r="D230">
        <v>476985</v>
      </c>
      <c r="E230">
        <v>40</v>
      </c>
      <c r="F230" t="s">
        <v>18</v>
      </c>
      <c r="G230" t="s">
        <v>686</v>
      </c>
      <c r="I230">
        <v>1</v>
      </c>
      <c r="J230">
        <v>16</v>
      </c>
      <c r="K230" t="str">
        <f>IF(tbl_employee_master[[#This Row],[Exit Date]]="","Active","Exited")</f>
        <v>Active</v>
      </c>
      <c r="L230">
        <f ca="1">DATEDIF(tbl_employee_master[[#This Row],[Joining Date]],TODAY(),"Y")</f>
        <v>5</v>
      </c>
    </row>
    <row r="231" spans="1:12" x14ac:dyDescent="0.25">
      <c r="A231" t="s">
        <v>687</v>
      </c>
      <c r="B231" t="s">
        <v>32</v>
      </c>
      <c r="C231" t="s">
        <v>25</v>
      </c>
      <c r="D231">
        <v>1105340</v>
      </c>
      <c r="E231">
        <v>22</v>
      </c>
      <c r="F231" t="s">
        <v>13</v>
      </c>
      <c r="G231" t="s">
        <v>26</v>
      </c>
      <c r="I231">
        <v>2</v>
      </c>
      <c r="J231">
        <v>28</v>
      </c>
      <c r="K231" t="str">
        <f>IF(tbl_employee_master[[#This Row],[Exit Date]]="","Active","Exited")</f>
        <v>Active</v>
      </c>
      <c r="L231">
        <f ca="1">DATEDIF(tbl_employee_master[[#This Row],[Joining Date]],TODAY(),"Y")</f>
        <v>0</v>
      </c>
    </row>
    <row r="232" spans="1:12" x14ac:dyDescent="0.25">
      <c r="A232" t="s">
        <v>688</v>
      </c>
      <c r="B232" t="s">
        <v>28</v>
      </c>
      <c r="C232" t="s">
        <v>202</v>
      </c>
      <c r="D232">
        <v>1627029</v>
      </c>
      <c r="E232">
        <v>29</v>
      </c>
      <c r="F232" t="s">
        <v>18</v>
      </c>
      <c r="G232" t="s">
        <v>689</v>
      </c>
      <c r="I232">
        <v>5</v>
      </c>
      <c r="J232">
        <v>39</v>
      </c>
      <c r="K232" t="str">
        <f>IF(tbl_employee_master[[#This Row],[Exit Date]]="","Active","Exited")</f>
        <v>Active</v>
      </c>
      <c r="L232">
        <f ca="1">DATEDIF(tbl_employee_master[[#This Row],[Joining Date]],TODAY(),"Y")</f>
        <v>1</v>
      </c>
    </row>
    <row r="233" spans="1:12" x14ac:dyDescent="0.25">
      <c r="A233" t="s">
        <v>690</v>
      </c>
      <c r="B233" t="s">
        <v>24</v>
      </c>
      <c r="C233" t="s">
        <v>56</v>
      </c>
      <c r="D233">
        <v>875094</v>
      </c>
      <c r="E233">
        <v>39</v>
      </c>
      <c r="F233" t="s">
        <v>18</v>
      </c>
      <c r="G233" t="s">
        <v>691</v>
      </c>
      <c r="I233">
        <v>1</v>
      </c>
      <c r="J233">
        <v>57</v>
      </c>
      <c r="K233" t="str">
        <f>IF(tbl_employee_master[[#This Row],[Exit Date]]="","Active","Exited")</f>
        <v>Active</v>
      </c>
      <c r="L233">
        <f ca="1">DATEDIF(tbl_employee_master[[#This Row],[Joining Date]],TODAY(),"Y")</f>
        <v>5</v>
      </c>
    </row>
    <row r="234" spans="1:12" x14ac:dyDescent="0.25">
      <c r="A234" t="s">
        <v>692</v>
      </c>
      <c r="B234" t="s">
        <v>32</v>
      </c>
      <c r="C234" t="s">
        <v>693</v>
      </c>
      <c r="D234">
        <v>1651741</v>
      </c>
      <c r="E234">
        <v>29</v>
      </c>
      <c r="F234" t="s">
        <v>13</v>
      </c>
      <c r="G234" t="s">
        <v>694</v>
      </c>
      <c r="I234">
        <v>3</v>
      </c>
      <c r="J234">
        <v>48</v>
      </c>
      <c r="K234" t="str">
        <f>IF(tbl_employee_master[[#This Row],[Exit Date]]="","Active","Exited")</f>
        <v>Active</v>
      </c>
      <c r="L234">
        <f ca="1">DATEDIF(tbl_employee_master[[#This Row],[Joining Date]],TODAY(),"Y")</f>
        <v>3</v>
      </c>
    </row>
    <row r="235" spans="1:12" x14ac:dyDescent="0.25">
      <c r="A235" t="s">
        <v>695</v>
      </c>
      <c r="B235" t="s">
        <v>59</v>
      </c>
      <c r="C235" t="s">
        <v>696</v>
      </c>
      <c r="D235">
        <v>1082078</v>
      </c>
      <c r="E235">
        <v>35</v>
      </c>
      <c r="F235" t="s">
        <v>18</v>
      </c>
      <c r="G235" t="s">
        <v>697</v>
      </c>
      <c r="I235">
        <v>3</v>
      </c>
      <c r="J235">
        <v>18</v>
      </c>
      <c r="K235" t="str">
        <f>IF(tbl_employee_master[[#This Row],[Exit Date]]="","Active","Exited")</f>
        <v>Active</v>
      </c>
      <c r="L235">
        <f ca="1">DATEDIF(tbl_employee_master[[#This Row],[Joining Date]],TODAY(),"Y")</f>
        <v>4</v>
      </c>
    </row>
    <row r="236" spans="1:12" x14ac:dyDescent="0.25">
      <c r="A236" t="s">
        <v>698</v>
      </c>
      <c r="B236" t="s">
        <v>32</v>
      </c>
      <c r="C236" t="s">
        <v>699</v>
      </c>
      <c r="D236">
        <v>878507</v>
      </c>
      <c r="E236">
        <v>30</v>
      </c>
      <c r="F236" t="s">
        <v>18</v>
      </c>
      <c r="G236" t="s">
        <v>700</v>
      </c>
      <c r="I236">
        <v>2</v>
      </c>
      <c r="J236">
        <v>43</v>
      </c>
      <c r="K236" t="str">
        <f>IF(tbl_employee_master[[#This Row],[Exit Date]]="","Active","Exited")</f>
        <v>Active</v>
      </c>
      <c r="L236">
        <f ca="1">DATEDIF(tbl_employee_master[[#This Row],[Joining Date]],TODAY(),"Y")</f>
        <v>4</v>
      </c>
    </row>
    <row r="237" spans="1:12" x14ac:dyDescent="0.25">
      <c r="A237" t="s">
        <v>701</v>
      </c>
      <c r="B237" t="s">
        <v>32</v>
      </c>
      <c r="C237" t="s">
        <v>702</v>
      </c>
      <c r="D237">
        <v>502311</v>
      </c>
      <c r="E237">
        <v>43</v>
      </c>
      <c r="F237" t="s">
        <v>13</v>
      </c>
      <c r="G237" t="s">
        <v>703</v>
      </c>
      <c r="H237" t="s">
        <v>704</v>
      </c>
      <c r="I237">
        <v>1</v>
      </c>
      <c r="J237">
        <v>32</v>
      </c>
      <c r="K237" t="str">
        <f>IF(tbl_employee_master[[#This Row],[Exit Date]]="","Active","Exited")</f>
        <v>Exited</v>
      </c>
      <c r="L237">
        <f ca="1">DATEDIF(tbl_employee_master[[#This Row],[Joining Date]],TODAY(),"Y")</f>
        <v>5</v>
      </c>
    </row>
    <row r="238" spans="1:12" x14ac:dyDescent="0.25">
      <c r="A238" t="s">
        <v>705</v>
      </c>
      <c r="B238" t="s">
        <v>11</v>
      </c>
      <c r="C238" t="s">
        <v>268</v>
      </c>
      <c r="D238">
        <v>753715</v>
      </c>
      <c r="E238">
        <v>36</v>
      </c>
      <c r="F238" t="s">
        <v>13</v>
      </c>
      <c r="G238" t="s">
        <v>706</v>
      </c>
      <c r="I238">
        <v>4</v>
      </c>
      <c r="J238">
        <v>51</v>
      </c>
      <c r="K238" t="str">
        <f>IF(tbl_employee_master[[#This Row],[Exit Date]]="","Active","Exited")</f>
        <v>Active</v>
      </c>
      <c r="L238">
        <f ca="1">DATEDIF(tbl_employee_master[[#This Row],[Joining Date]],TODAY(),"Y")</f>
        <v>4</v>
      </c>
    </row>
    <row r="239" spans="1:12" x14ac:dyDescent="0.25">
      <c r="A239" t="s">
        <v>707</v>
      </c>
      <c r="B239" t="s">
        <v>24</v>
      </c>
      <c r="C239" t="s">
        <v>708</v>
      </c>
      <c r="D239">
        <v>1439901</v>
      </c>
      <c r="E239">
        <v>30</v>
      </c>
      <c r="F239" t="s">
        <v>18</v>
      </c>
      <c r="G239" t="s">
        <v>709</v>
      </c>
      <c r="I239">
        <v>4</v>
      </c>
      <c r="J239">
        <v>23</v>
      </c>
      <c r="K239" t="str">
        <f>IF(tbl_employee_master[[#This Row],[Exit Date]]="","Active","Exited")</f>
        <v>Active</v>
      </c>
      <c r="L239">
        <f ca="1">DATEDIF(tbl_employee_master[[#This Row],[Joining Date]],TODAY(),"Y")</f>
        <v>1</v>
      </c>
    </row>
    <row r="240" spans="1:12" x14ac:dyDescent="0.25">
      <c r="A240" t="s">
        <v>710</v>
      </c>
      <c r="B240" t="s">
        <v>24</v>
      </c>
      <c r="C240" t="s">
        <v>711</v>
      </c>
      <c r="D240">
        <v>1660753</v>
      </c>
      <c r="E240">
        <v>32</v>
      </c>
      <c r="F240" t="s">
        <v>13</v>
      </c>
      <c r="G240" t="s">
        <v>712</v>
      </c>
      <c r="H240" t="s">
        <v>48</v>
      </c>
      <c r="I240">
        <v>5</v>
      </c>
      <c r="J240">
        <v>57</v>
      </c>
      <c r="K240" t="str">
        <f>IF(tbl_employee_master[[#This Row],[Exit Date]]="","Active","Exited")</f>
        <v>Exited</v>
      </c>
      <c r="L240">
        <f ca="1">DATEDIF(tbl_employee_master[[#This Row],[Joining Date]],TODAY(),"Y")</f>
        <v>1</v>
      </c>
    </row>
    <row r="241" spans="1:12" x14ac:dyDescent="0.25">
      <c r="A241" t="s">
        <v>713</v>
      </c>
      <c r="B241" t="s">
        <v>11</v>
      </c>
      <c r="C241" t="s">
        <v>706</v>
      </c>
      <c r="D241">
        <v>1532874</v>
      </c>
      <c r="E241">
        <v>43</v>
      </c>
      <c r="F241" t="s">
        <v>18</v>
      </c>
      <c r="G241" t="s">
        <v>714</v>
      </c>
      <c r="H241" t="s">
        <v>715</v>
      </c>
      <c r="I241">
        <v>2</v>
      </c>
      <c r="J241">
        <v>52</v>
      </c>
      <c r="K241" t="str">
        <f>IF(tbl_employee_master[[#This Row],[Exit Date]]="","Active","Exited")</f>
        <v>Exited</v>
      </c>
      <c r="L241">
        <f ca="1">DATEDIF(tbl_employee_master[[#This Row],[Joining Date]],TODAY(),"Y")</f>
        <v>1</v>
      </c>
    </row>
    <row r="242" spans="1:12" x14ac:dyDescent="0.25">
      <c r="A242" t="s">
        <v>716</v>
      </c>
      <c r="B242" t="s">
        <v>11</v>
      </c>
      <c r="C242" t="s">
        <v>717</v>
      </c>
      <c r="D242">
        <v>1180668</v>
      </c>
      <c r="E242">
        <v>26</v>
      </c>
      <c r="F242" t="s">
        <v>18</v>
      </c>
      <c r="G242" t="s">
        <v>718</v>
      </c>
      <c r="I242">
        <v>2</v>
      </c>
      <c r="J242">
        <v>25</v>
      </c>
      <c r="K242" t="str">
        <f>IF(tbl_employee_master[[#This Row],[Exit Date]]="","Active","Exited")</f>
        <v>Active</v>
      </c>
      <c r="L242">
        <f ca="1">DATEDIF(tbl_employee_master[[#This Row],[Joining Date]],TODAY(),"Y")</f>
        <v>5</v>
      </c>
    </row>
    <row r="243" spans="1:12" x14ac:dyDescent="0.25">
      <c r="A243" t="s">
        <v>719</v>
      </c>
      <c r="B243" t="s">
        <v>28</v>
      </c>
      <c r="C243" t="s">
        <v>450</v>
      </c>
      <c r="D243">
        <v>1259829</v>
      </c>
      <c r="E243">
        <v>27</v>
      </c>
      <c r="F243" t="s">
        <v>13</v>
      </c>
      <c r="G243" t="s">
        <v>720</v>
      </c>
      <c r="I243">
        <v>2</v>
      </c>
      <c r="J243">
        <v>24</v>
      </c>
      <c r="K243" t="str">
        <f>IF(tbl_employee_master[[#This Row],[Exit Date]]="","Active","Exited")</f>
        <v>Active</v>
      </c>
      <c r="L243">
        <f ca="1">DATEDIF(tbl_employee_master[[#This Row],[Joining Date]],TODAY(),"Y")</f>
        <v>4</v>
      </c>
    </row>
    <row r="244" spans="1:12" x14ac:dyDescent="0.25">
      <c r="A244" t="s">
        <v>721</v>
      </c>
      <c r="B244" t="s">
        <v>16</v>
      </c>
      <c r="C244" t="s">
        <v>399</v>
      </c>
      <c r="D244">
        <v>443079</v>
      </c>
      <c r="E244">
        <v>44</v>
      </c>
      <c r="F244" t="s">
        <v>13</v>
      </c>
      <c r="G244" t="s">
        <v>722</v>
      </c>
      <c r="I244">
        <v>5</v>
      </c>
      <c r="J244">
        <v>36</v>
      </c>
      <c r="K244" t="str">
        <f>IF(tbl_employee_master[[#This Row],[Exit Date]]="","Active","Exited")</f>
        <v>Active</v>
      </c>
      <c r="L244">
        <f ca="1">DATEDIF(tbl_employee_master[[#This Row],[Joining Date]],TODAY(),"Y")</f>
        <v>1</v>
      </c>
    </row>
    <row r="245" spans="1:12" x14ac:dyDescent="0.25">
      <c r="A245" t="s">
        <v>723</v>
      </c>
      <c r="B245" t="s">
        <v>24</v>
      </c>
      <c r="C245" t="s">
        <v>724</v>
      </c>
      <c r="D245">
        <v>1158176</v>
      </c>
      <c r="E245">
        <v>41</v>
      </c>
      <c r="F245" t="s">
        <v>13</v>
      </c>
      <c r="G245" t="s">
        <v>725</v>
      </c>
      <c r="H245" t="s">
        <v>726</v>
      </c>
      <c r="I245">
        <v>3</v>
      </c>
      <c r="J245">
        <v>43</v>
      </c>
      <c r="K245" t="str">
        <f>IF(tbl_employee_master[[#This Row],[Exit Date]]="","Active","Exited")</f>
        <v>Exited</v>
      </c>
      <c r="L245">
        <f ca="1">DATEDIF(tbl_employee_master[[#This Row],[Joining Date]],TODAY(),"Y")</f>
        <v>5</v>
      </c>
    </row>
    <row r="246" spans="1:12" x14ac:dyDescent="0.25">
      <c r="A246" t="s">
        <v>727</v>
      </c>
      <c r="B246" t="s">
        <v>32</v>
      </c>
      <c r="C246" t="s">
        <v>728</v>
      </c>
      <c r="D246">
        <v>858059</v>
      </c>
      <c r="E246">
        <v>42</v>
      </c>
      <c r="F246" t="s">
        <v>13</v>
      </c>
      <c r="G246" t="s">
        <v>729</v>
      </c>
      <c r="I246">
        <v>4</v>
      </c>
      <c r="J246">
        <v>29</v>
      </c>
      <c r="K246" t="str">
        <f>IF(tbl_employee_master[[#This Row],[Exit Date]]="","Active","Exited")</f>
        <v>Active</v>
      </c>
      <c r="L246">
        <f ca="1">DATEDIF(tbl_employee_master[[#This Row],[Joining Date]],TODAY(),"Y")</f>
        <v>3</v>
      </c>
    </row>
    <row r="247" spans="1:12" x14ac:dyDescent="0.25">
      <c r="A247" t="s">
        <v>730</v>
      </c>
      <c r="B247" t="s">
        <v>59</v>
      </c>
      <c r="C247" t="s">
        <v>731</v>
      </c>
      <c r="D247">
        <v>559585</v>
      </c>
      <c r="E247">
        <v>26</v>
      </c>
      <c r="F247" t="s">
        <v>13</v>
      </c>
      <c r="G247" t="s">
        <v>732</v>
      </c>
      <c r="I247">
        <v>4</v>
      </c>
      <c r="J247">
        <v>11</v>
      </c>
      <c r="K247" t="str">
        <f>IF(tbl_employee_master[[#This Row],[Exit Date]]="","Active","Exited")</f>
        <v>Active</v>
      </c>
      <c r="L247">
        <f ca="1">DATEDIF(tbl_employee_master[[#This Row],[Joining Date]],TODAY(),"Y")</f>
        <v>2</v>
      </c>
    </row>
    <row r="248" spans="1:12" x14ac:dyDescent="0.25">
      <c r="A248" t="s">
        <v>733</v>
      </c>
      <c r="B248" t="s">
        <v>11</v>
      </c>
      <c r="C248" t="s">
        <v>734</v>
      </c>
      <c r="D248">
        <v>1653879</v>
      </c>
      <c r="E248">
        <v>45</v>
      </c>
      <c r="F248" t="s">
        <v>18</v>
      </c>
      <c r="G248" t="s">
        <v>735</v>
      </c>
      <c r="H248" t="s">
        <v>736</v>
      </c>
      <c r="I248">
        <v>3</v>
      </c>
      <c r="J248">
        <v>8</v>
      </c>
      <c r="K248" t="str">
        <f>IF(tbl_employee_master[[#This Row],[Exit Date]]="","Active","Exited")</f>
        <v>Exited</v>
      </c>
      <c r="L248">
        <f ca="1">DATEDIF(tbl_employee_master[[#This Row],[Joining Date]],TODAY(),"Y")</f>
        <v>4</v>
      </c>
    </row>
    <row r="249" spans="1:12" x14ac:dyDescent="0.25">
      <c r="A249" t="s">
        <v>737</v>
      </c>
      <c r="B249" t="s">
        <v>24</v>
      </c>
      <c r="C249" t="s">
        <v>80</v>
      </c>
      <c r="D249">
        <v>756207</v>
      </c>
      <c r="E249">
        <v>45</v>
      </c>
      <c r="F249" t="s">
        <v>13</v>
      </c>
      <c r="G249" t="s">
        <v>81</v>
      </c>
      <c r="I249">
        <v>3</v>
      </c>
      <c r="J249">
        <v>20</v>
      </c>
      <c r="K249" t="str">
        <f>IF(tbl_employee_master[[#This Row],[Exit Date]]="","Active","Exited")</f>
        <v>Active</v>
      </c>
      <c r="L249">
        <f ca="1">DATEDIF(tbl_employee_master[[#This Row],[Joining Date]],TODAY(),"Y")</f>
        <v>1</v>
      </c>
    </row>
    <row r="250" spans="1:12" x14ac:dyDescent="0.25">
      <c r="A250" t="s">
        <v>738</v>
      </c>
      <c r="B250" t="s">
        <v>32</v>
      </c>
      <c r="C250" t="s">
        <v>739</v>
      </c>
      <c r="D250">
        <v>1738334</v>
      </c>
      <c r="E250">
        <v>30</v>
      </c>
      <c r="F250" t="s">
        <v>13</v>
      </c>
      <c r="G250" t="s">
        <v>740</v>
      </c>
      <c r="I250">
        <v>1</v>
      </c>
      <c r="J250">
        <v>9</v>
      </c>
      <c r="K250" t="str">
        <f>IF(tbl_employee_master[[#This Row],[Exit Date]]="","Active","Exited")</f>
        <v>Active</v>
      </c>
      <c r="L250">
        <f ca="1">DATEDIF(tbl_employee_master[[#This Row],[Joining Date]],TODAY(),"Y")</f>
        <v>1</v>
      </c>
    </row>
    <row r="251" spans="1:12" x14ac:dyDescent="0.25">
      <c r="A251" t="s">
        <v>741</v>
      </c>
      <c r="B251" t="s">
        <v>16</v>
      </c>
      <c r="C251" t="s">
        <v>590</v>
      </c>
      <c r="D251">
        <v>325455</v>
      </c>
      <c r="E251">
        <v>41</v>
      </c>
      <c r="F251" t="s">
        <v>18</v>
      </c>
      <c r="G251" t="s">
        <v>89</v>
      </c>
      <c r="I251">
        <v>2</v>
      </c>
      <c r="J251">
        <v>57</v>
      </c>
      <c r="K251" t="str">
        <f>IF(tbl_employee_master[[#This Row],[Exit Date]]="","Active","Exited")</f>
        <v>Active</v>
      </c>
      <c r="L251">
        <f ca="1">DATEDIF(tbl_employee_master[[#This Row],[Joining Date]],TODAY(),"Y")</f>
        <v>2</v>
      </c>
    </row>
    <row r="252" spans="1:12" x14ac:dyDescent="0.25">
      <c r="A252" t="s">
        <v>742</v>
      </c>
      <c r="B252" t="s">
        <v>24</v>
      </c>
      <c r="C252" t="s">
        <v>743</v>
      </c>
      <c r="D252">
        <v>700572</v>
      </c>
      <c r="E252">
        <v>22</v>
      </c>
      <c r="F252" t="s">
        <v>18</v>
      </c>
      <c r="G252" t="s">
        <v>744</v>
      </c>
      <c r="I252">
        <v>5</v>
      </c>
      <c r="J252">
        <v>36</v>
      </c>
      <c r="K252" t="str">
        <f>IF(tbl_employee_master[[#This Row],[Exit Date]]="","Active","Exited")</f>
        <v>Active</v>
      </c>
      <c r="L252">
        <f ca="1">DATEDIF(tbl_employee_master[[#This Row],[Joining Date]],TODAY(),"Y")</f>
        <v>2</v>
      </c>
    </row>
    <row r="253" spans="1:12" x14ac:dyDescent="0.25">
      <c r="A253" t="s">
        <v>745</v>
      </c>
      <c r="B253" t="s">
        <v>59</v>
      </c>
      <c r="C253" t="s">
        <v>746</v>
      </c>
      <c r="D253">
        <v>953114</v>
      </c>
      <c r="E253">
        <v>39</v>
      </c>
      <c r="F253" t="s">
        <v>18</v>
      </c>
      <c r="G253" t="s">
        <v>747</v>
      </c>
      <c r="H253" t="s">
        <v>48</v>
      </c>
      <c r="I253">
        <v>3</v>
      </c>
      <c r="J253">
        <v>37</v>
      </c>
      <c r="K253" t="str">
        <f>IF(tbl_employee_master[[#This Row],[Exit Date]]="","Active","Exited")</f>
        <v>Exited</v>
      </c>
      <c r="L253">
        <f ca="1">DATEDIF(tbl_employee_master[[#This Row],[Joining Date]],TODAY(),"Y")</f>
        <v>3</v>
      </c>
    </row>
    <row r="254" spans="1:12" x14ac:dyDescent="0.25">
      <c r="A254" t="s">
        <v>748</v>
      </c>
      <c r="B254" t="s">
        <v>11</v>
      </c>
      <c r="C254" t="s">
        <v>744</v>
      </c>
      <c r="D254">
        <v>1359336</v>
      </c>
      <c r="E254">
        <v>31</v>
      </c>
      <c r="F254" t="s">
        <v>13</v>
      </c>
      <c r="G254" t="s">
        <v>749</v>
      </c>
      <c r="H254" t="s">
        <v>48</v>
      </c>
      <c r="I254">
        <v>4</v>
      </c>
      <c r="J254">
        <v>50</v>
      </c>
      <c r="K254" t="str">
        <f>IF(tbl_employee_master[[#This Row],[Exit Date]]="","Active","Exited")</f>
        <v>Exited</v>
      </c>
      <c r="L254">
        <f ca="1">DATEDIF(tbl_employee_master[[#This Row],[Joining Date]],TODAY(),"Y")</f>
        <v>1</v>
      </c>
    </row>
    <row r="255" spans="1:12" x14ac:dyDescent="0.25">
      <c r="A255" t="s">
        <v>750</v>
      </c>
      <c r="B255" t="s">
        <v>11</v>
      </c>
      <c r="C255" t="s">
        <v>751</v>
      </c>
      <c r="D255">
        <v>1433362</v>
      </c>
      <c r="E255">
        <v>47</v>
      </c>
      <c r="F255" t="s">
        <v>13</v>
      </c>
      <c r="G255" t="s">
        <v>752</v>
      </c>
      <c r="I255">
        <v>4</v>
      </c>
      <c r="J255">
        <v>56</v>
      </c>
      <c r="K255" t="str">
        <f>IF(tbl_employee_master[[#This Row],[Exit Date]]="","Active","Exited")</f>
        <v>Active</v>
      </c>
      <c r="L255">
        <f ca="1">DATEDIF(tbl_employee_master[[#This Row],[Joining Date]],TODAY(),"Y")</f>
        <v>5</v>
      </c>
    </row>
    <row r="256" spans="1:12" x14ac:dyDescent="0.25">
      <c r="A256" t="s">
        <v>753</v>
      </c>
      <c r="B256" t="s">
        <v>28</v>
      </c>
      <c r="C256" t="s">
        <v>754</v>
      </c>
      <c r="D256">
        <v>1295197</v>
      </c>
      <c r="E256">
        <v>42</v>
      </c>
      <c r="F256" t="s">
        <v>18</v>
      </c>
      <c r="G256" t="s">
        <v>755</v>
      </c>
      <c r="I256">
        <v>5</v>
      </c>
      <c r="J256">
        <v>51</v>
      </c>
      <c r="K256" t="str">
        <f>IF(tbl_employee_master[[#This Row],[Exit Date]]="","Active","Exited")</f>
        <v>Active</v>
      </c>
      <c r="L256">
        <f ca="1">DATEDIF(tbl_employee_master[[#This Row],[Joining Date]],TODAY(),"Y")</f>
        <v>4</v>
      </c>
    </row>
    <row r="257" spans="1:12" x14ac:dyDescent="0.25">
      <c r="A257" t="s">
        <v>756</v>
      </c>
      <c r="B257" t="s">
        <v>39</v>
      </c>
      <c r="C257" t="s">
        <v>757</v>
      </c>
      <c r="D257">
        <v>1417789</v>
      </c>
      <c r="E257">
        <v>44</v>
      </c>
      <c r="F257" t="s">
        <v>18</v>
      </c>
      <c r="G257" t="s">
        <v>758</v>
      </c>
      <c r="I257">
        <v>1</v>
      </c>
      <c r="J257">
        <v>56</v>
      </c>
      <c r="K257" t="str">
        <f>IF(tbl_employee_master[[#This Row],[Exit Date]]="","Active","Exited")</f>
        <v>Active</v>
      </c>
      <c r="L257">
        <f ca="1">DATEDIF(tbl_employee_master[[#This Row],[Joining Date]],TODAY(),"Y")</f>
        <v>0</v>
      </c>
    </row>
    <row r="258" spans="1:12" x14ac:dyDescent="0.25">
      <c r="A258" t="s">
        <v>759</v>
      </c>
      <c r="B258" t="s">
        <v>39</v>
      </c>
      <c r="C258" t="s">
        <v>760</v>
      </c>
      <c r="D258">
        <v>1727459</v>
      </c>
      <c r="E258">
        <v>29</v>
      </c>
      <c r="F258" t="s">
        <v>13</v>
      </c>
      <c r="G258" t="s">
        <v>761</v>
      </c>
      <c r="I258">
        <v>2</v>
      </c>
      <c r="J258">
        <v>26</v>
      </c>
      <c r="K258" t="str">
        <f>IF(tbl_employee_master[[#This Row],[Exit Date]]="","Active","Exited")</f>
        <v>Active</v>
      </c>
      <c r="L258">
        <f ca="1">DATEDIF(tbl_employee_master[[#This Row],[Joining Date]],TODAY(),"Y")</f>
        <v>5</v>
      </c>
    </row>
    <row r="259" spans="1:12" x14ac:dyDescent="0.25">
      <c r="A259" t="s">
        <v>762</v>
      </c>
      <c r="B259" t="s">
        <v>24</v>
      </c>
      <c r="C259" t="s">
        <v>763</v>
      </c>
      <c r="D259">
        <v>1602745</v>
      </c>
      <c r="E259">
        <v>42</v>
      </c>
      <c r="F259" t="s">
        <v>13</v>
      </c>
      <c r="G259" t="s">
        <v>764</v>
      </c>
      <c r="I259">
        <v>2</v>
      </c>
      <c r="J259">
        <v>28</v>
      </c>
      <c r="K259" t="str">
        <f>IF(tbl_employee_master[[#This Row],[Exit Date]]="","Active","Exited")</f>
        <v>Active</v>
      </c>
      <c r="L259">
        <f ca="1">DATEDIF(tbl_employee_master[[#This Row],[Joining Date]],TODAY(),"Y")</f>
        <v>3</v>
      </c>
    </row>
    <row r="260" spans="1:12" x14ac:dyDescent="0.25">
      <c r="A260" t="s">
        <v>765</v>
      </c>
      <c r="B260" t="s">
        <v>32</v>
      </c>
      <c r="C260" t="s">
        <v>766</v>
      </c>
      <c r="D260">
        <v>1424043</v>
      </c>
      <c r="E260">
        <v>31</v>
      </c>
      <c r="F260" t="s">
        <v>18</v>
      </c>
      <c r="G260" t="s">
        <v>767</v>
      </c>
      <c r="I260">
        <v>2</v>
      </c>
      <c r="J260">
        <v>0</v>
      </c>
      <c r="K260" t="str">
        <f>IF(tbl_employee_master[[#This Row],[Exit Date]]="","Active","Exited")</f>
        <v>Active</v>
      </c>
      <c r="L260">
        <f ca="1">DATEDIF(tbl_employee_master[[#This Row],[Joining Date]],TODAY(),"Y")</f>
        <v>1</v>
      </c>
    </row>
    <row r="261" spans="1:12" x14ac:dyDescent="0.25">
      <c r="A261" t="s">
        <v>768</v>
      </c>
      <c r="B261" t="s">
        <v>28</v>
      </c>
      <c r="C261" t="s">
        <v>769</v>
      </c>
      <c r="D261">
        <v>1563186</v>
      </c>
      <c r="E261">
        <v>25</v>
      </c>
      <c r="F261" t="s">
        <v>18</v>
      </c>
      <c r="G261" t="s">
        <v>722</v>
      </c>
      <c r="I261">
        <v>3</v>
      </c>
      <c r="J261">
        <v>28</v>
      </c>
      <c r="K261" t="str">
        <f>IF(tbl_employee_master[[#This Row],[Exit Date]]="","Active","Exited")</f>
        <v>Active</v>
      </c>
      <c r="L261">
        <f ca="1">DATEDIF(tbl_employee_master[[#This Row],[Joining Date]],TODAY(),"Y")</f>
        <v>2</v>
      </c>
    </row>
    <row r="262" spans="1:12" x14ac:dyDescent="0.25">
      <c r="A262" t="s">
        <v>770</v>
      </c>
      <c r="B262" t="s">
        <v>28</v>
      </c>
      <c r="C262" t="s">
        <v>771</v>
      </c>
      <c r="D262">
        <v>1727618</v>
      </c>
      <c r="E262">
        <v>40</v>
      </c>
      <c r="F262" t="s">
        <v>13</v>
      </c>
      <c r="G262" t="s">
        <v>772</v>
      </c>
      <c r="I262">
        <v>2</v>
      </c>
      <c r="J262">
        <v>30</v>
      </c>
      <c r="K262" t="str">
        <f>IF(tbl_employee_master[[#This Row],[Exit Date]]="","Active","Exited")</f>
        <v>Active</v>
      </c>
      <c r="L262">
        <f ca="1">DATEDIF(tbl_employee_master[[#This Row],[Joining Date]],TODAY(),"Y")</f>
        <v>0</v>
      </c>
    </row>
    <row r="263" spans="1:12" x14ac:dyDescent="0.25">
      <c r="A263" t="s">
        <v>773</v>
      </c>
      <c r="B263" t="s">
        <v>11</v>
      </c>
      <c r="C263" t="s">
        <v>774</v>
      </c>
      <c r="D263">
        <v>1056239</v>
      </c>
      <c r="E263">
        <v>44</v>
      </c>
      <c r="F263" t="s">
        <v>13</v>
      </c>
      <c r="G263" t="s">
        <v>775</v>
      </c>
      <c r="I263">
        <v>1</v>
      </c>
      <c r="J263">
        <v>53</v>
      </c>
      <c r="K263" t="str">
        <f>IF(tbl_employee_master[[#This Row],[Exit Date]]="","Active","Exited")</f>
        <v>Active</v>
      </c>
      <c r="L263">
        <f ca="1">DATEDIF(tbl_employee_master[[#This Row],[Joining Date]],TODAY(),"Y")</f>
        <v>2</v>
      </c>
    </row>
    <row r="264" spans="1:12" x14ac:dyDescent="0.25">
      <c r="A264" t="s">
        <v>776</v>
      </c>
      <c r="B264" t="s">
        <v>59</v>
      </c>
      <c r="C264" t="s">
        <v>679</v>
      </c>
      <c r="D264">
        <v>1767987</v>
      </c>
      <c r="E264">
        <v>47</v>
      </c>
      <c r="F264" t="s">
        <v>13</v>
      </c>
      <c r="G264" t="s">
        <v>777</v>
      </c>
      <c r="I264">
        <v>3</v>
      </c>
      <c r="J264">
        <v>46</v>
      </c>
      <c r="K264" t="str">
        <f>IF(tbl_employee_master[[#This Row],[Exit Date]]="","Active","Exited")</f>
        <v>Active</v>
      </c>
      <c r="L264">
        <f ca="1">DATEDIF(tbl_employee_master[[#This Row],[Joining Date]],TODAY(),"Y")</f>
        <v>0</v>
      </c>
    </row>
    <row r="265" spans="1:12" x14ac:dyDescent="0.25">
      <c r="A265" t="s">
        <v>778</v>
      </c>
      <c r="B265" t="s">
        <v>24</v>
      </c>
      <c r="C265" t="s">
        <v>779</v>
      </c>
      <c r="D265">
        <v>661623</v>
      </c>
      <c r="E265">
        <v>45</v>
      </c>
      <c r="F265" t="s">
        <v>18</v>
      </c>
      <c r="G265" t="s">
        <v>780</v>
      </c>
      <c r="I265">
        <v>2</v>
      </c>
      <c r="J265">
        <v>26</v>
      </c>
      <c r="K265" t="str">
        <f>IF(tbl_employee_master[[#This Row],[Exit Date]]="","Active","Exited")</f>
        <v>Active</v>
      </c>
      <c r="L265">
        <f ca="1">DATEDIF(tbl_employee_master[[#This Row],[Joining Date]],TODAY(),"Y")</f>
        <v>1</v>
      </c>
    </row>
    <row r="266" spans="1:12" x14ac:dyDescent="0.25">
      <c r="A266" t="s">
        <v>781</v>
      </c>
      <c r="B266" t="s">
        <v>28</v>
      </c>
      <c r="C266" t="s">
        <v>498</v>
      </c>
      <c r="D266">
        <v>1740290</v>
      </c>
      <c r="E266">
        <v>27</v>
      </c>
      <c r="F266" t="s">
        <v>18</v>
      </c>
      <c r="G266" t="s">
        <v>156</v>
      </c>
      <c r="I266">
        <v>4</v>
      </c>
      <c r="J266">
        <v>4</v>
      </c>
      <c r="K266" t="str">
        <f>IF(tbl_employee_master[[#This Row],[Exit Date]]="","Active","Exited")</f>
        <v>Active</v>
      </c>
      <c r="L266">
        <f ca="1">DATEDIF(tbl_employee_master[[#This Row],[Joining Date]],TODAY(),"Y")</f>
        <v>3</v>
      </c>
    </row>
    <row r="267" spans="1:12" x14ac:dyDescent="0.25">
      <c r="A267" t="s">
        <v>782</v>
      </c>
      <c r="B267" t="s">
        <v>24</v>
      </c>
      <c r="C267" t="s">
        <v>783</v>
      </c>
      <c r="D267">
        <v>748693</v>
      </c>
      <c r="E267">
        <v>28</v>
      </c>
      <c r="F267" t="s">
        <v>13</v>
      </c>
      <c r="G267" t="s">
        <v>784</v>
      </c>
      <c r="I267">
        <v>1</v>
      </c>
      <c r="J267">
        <v>54</v>
      </c>
      <c r="K267" t="str">
        <f>IF(tbl_employee_master[[#This Row],[Exit Date]]="","Active","Exited")</f>
        <v>Active</v>
      </c>
      <c r="L267">
        <f ca="1">DATEDIF(tbl_employee_master[[#This Row],[Joining Date]],TODAY(),"Y")</f>
        <v>4</v>
      </c>
    </row>
    <row r="268" spans="1:12" x14ac:dyDescent="0.25">
      <c r="A268" t="s">
        <v>785</v>
      </c>
      <c r="B268" t="s">
        <v>32</v>
      </c>
      <c r="C268" t="s">
        <v>786</v>
      </c>
      <c r="D268">
        <v>1679679</v>
      </c>
      <c r="E268">
        <v>27</v>
      </c>
      <c r="F268" t="s">
        <v>13</v>
      </c>
      <c r="G268" t="s">
        <v>787</v>
      </c>
      <c r="I268">
        <v>1</v>
      </c>
      <c r="J268">
        <v>37</v>
      </c>
      <c r="K268" t="str">
        <f>IF(tbl_employee_master[[#This Row],[Exit Date]]="","Active","Exited")</f>
        <v>Active</v>
      </c>
      <c r="L268">
        <f ca="1">DATEDIF(tbl_employee_master[[#This Row],[Joining Date]],TODAY(),"Y")</f>
        <v>4</v>
      </c>
    </row>
    <row r="269" spans="1:12" x14ac:dyDescent="0.25">
      <c r="A269" t="s">
        <v>788</v>
      </c>
      <c r="B269" t="s">
        <v>32</v>
      </c>
      <c r="C269" t="s">
        <v>789</v>
      </c>
      <c r="D269">
        <v>933803</v>
      </c>
      <c r="E269">
        <v>25</v>
      </c>
      <c r="F269" t="s">
        <v>18</v>
      </c>
      <c r="G269" t="s">
        <v>790</v>
      </c>
      <c r="I269">
        <v>2</v>
      </c>
      <c r="J269">
        <v>20</v>
      </c>
      <c r="K269" t="str">
        <f>IF(tbl_employee_master[[#This Row],[Exit Date]]="","Active","Exited")</f>
        <v>Active</v>
      </c>
      <c r="L269">
        <f ca="1">DATEDIF(tbl_employee_master[[#This Row],[Joining Date]],TODAY(),"Y")</f>
        <v>0</v>
      </c>
    </row>
    <row r="270" spans="1:12" x14ac:dyDescent="0.25">
      <c r="A270" t="s">
        <v>791</v>
      </c>
      <c r="B270" t="s">
        <v>32</v>
      </c>
      <c r="C270" t="s">
        <v>792</v>
      </c>
      <c r="D270">
        <v>1171518</v>
      </c>
      <c r="E270">
        <v>33</v>
      </c>
      <c r="F270" t="s">
        <v>13</v>
      </c>
      <c r="G270" t="s">
        <v>234</v>
      </c>
      <c r="I270">
        <v>3</v>
      </c>
      <c r="J270">
        <v>55</v>
      </c>
      <c r="K270" t="str">
        <f>IF(tbl_employee_master[[#This Row],[Exit Date]]="","Active","Exited")</f>
        <v>Active</v>
      </c>
      <c r="L270">
        <f ca="1">DATEDIF(tbl_employee_master[[#This Row],[Joining Date]],TODAY(),"Y")</f>
        <v>3</v>
      </c>
    </row>
    <row r="271" spans="1:12" x14ac:dyDescent="0.25">
      <c r="A271" t="s">
        <v>793</v>
      </c>
      <c r="B271" t="s">
        <v>32</v>
      </c>
      <c r="C271" t="s">
        <v>794</v>
      </c>
      <c r="D271">
        <v>1050389</v>
      </c>
      <c r="E271">
        <v>48</v>
      </c>
      <c r="F271" t="s">
        <v>13</v>
      </c>
      <c r="G271" t="s">
        <v>795</v>
      </c>
      <c r="I271">
        <v>3</v>
      </c>
      <c r="J271">
        <v>13</v>
      </c>
      <c r="K271" t="str">
        <f>IF(tbl_employee_master[[#This Row],[Exit Date]]="","Active","Exited")</f>
        <v>Active</v>
      </c>
      <c r="L271">
        <f ca="1">DATEDIF(tbl_employee_master[[#This Row],[Joining Date]],TODAY(),"Y")</f>
        <v>0</v>
      </c>
    </row>
    <row r="272" spans="1:12" x14ac:dyDescent="0.25">
      <c r="A272" t="s">
        <v>796</v>
      </c>
      <c r="B272" t="s">
        <v>39</v>
      </c>
      <c r="C272" t="s">
        <v>797</v>
      </c>
      <c r="D272">
        <v>504414</v>
      </c>
      <c r="E272">
        <v>48</v>
      </c>
      <c r="F272" t="s">
        <v>18</v>
      </c>
      <c r="G272" t="s">
        <v>546</v>
      </c>
      <c r="I272">
        <v>3</v>
      </c>
      <c r="J272">
        <v>43</v>
      </c>
      <c r="K272" t="str">
        <f>IF(tbl_employee_master[[#This Row],[Exit Date]]="","Active","Exited")</f>
        <v>Active</v>
      </c>
      <c r="L272">
        <f ca="1">DATEDIF(tbl_employee_master[[#This Row],[Joining Date]],TODAY(),"Y")</f>
        <v>2</v>
      </c>
    </row>
    <row r="273" spans="1:12" x14ac:dyDescent="0.25">
      <c r="A273" t="s">
        <v>798</v>
      </c>
      <c r="B273" t="s">
        <v>39</v>
      </c>
      <c r="C273" t="s">
        <v>799</v>
      </c>
      <c r="D273">
        <v>1440448</v>
      </c>
      <c r="E273">
        <v>26</v>
      </c>
      <c r="F273" t="s">
        <v>13</v>
      </c>
      <c r="G273" t="s">
        <v>800</v>
      </c>
      <c r="I273">
        <v>5</v>
      </c>
      <c r="J273">
        <v>53</v>
      </c>
      <c r="K273" t="str">
        <f>IF(tbl_employee_master[[#This Row],[Exit Date]]="","Active","Exited")</f>
        <v>Active</v>
      </c>
      <c r="L273">
        <f ca="1">DATEDIF(tbl_employee_master[[#This Row],[Joining Date]],TODAY(),"Y")</f>
        <v>1</v>
      </c>
    </row>
    <row r="274" spans="1:12" x14ac:dyDescent="0.25">
      <c r="A274" t="s">
        <v>801</v>
      </c>
      <c r="B274" t="s">
        <v>24</v>
      </c>
      <c r="C274" t="s">
        <v>802</v>
      </c>
      <c r="D274">
        <v>1017667</v>
      </c>
      <c r="E274">
        <v>47</v>
      </c>
      <c r="F274" t="s">
        <v>18</v>
      </c>
      <c r="G274" t="s">
        <v>529</v>
      </c>
      <c r="I274">
        <v>2</v>
      </c>
      <c r="J274">
        <v>23</v>
      </c>
      <c r="K274" t="str">
        <f>IF(tbl_employee_master[[#This Row],[Exit Date]]="","Active","Exited")</f>
        <v>Active</v>
      </c>
      <c r="L274">
        <f ca="1">DATEDIF(tbl_employee_master[[#This Row],[Joining Date]],TODAY(),"Y")</f>
        <v>4</v>
      </c>
    </row>
    <row r="275" spans="1:12" x14ac:dyDescent="0.25">
      <c r="A275" t="s">
        <v>803</v>
      </c>
      <c r="B275" t="s">
        <v>11</v>
      </c>
      <c r="C275" t="s">
        <v>804</v>
      </c>
      <c r="D275">
        <v>1455776</v>
      </c>
      <c r="E275">
        <v>47</v>
      </c>
      <c r="F275" t="s">
        <v>13</v>
      </c>
      <c r="G275" t="s">
        <v>805</v>
      </c>
      <c r="I275">
        <v>2</v>
      </c>
      <c r="J275">
        <v>6</v>
      </c>
      <c r="K275" t="str">
        <f>IF(tbl_employee_master[[#This Row],[Exit Date]]="","Active","Exited")</f>
        <v>Active</v>
      </c>
      <c r="L275">
        <f ca="1">DATEDIF(tbl_employee_master[[#This Row],[Joining Date]],TODAY(),"Y")</f>
        <v>1</v>
      </c>
    </row>
    <row r="276" spans="1:12" x14ac:dyDescent="0.25">
      <c r="A276" t="s">
        <v>806</v>
      </c>
      <c r="B276" t="s">
        <v>28</v>
      </c>
      <c r="C276" t="s">
        <v>146</v>
      </c>
      <c r="D276">
        <v>882729</v>
      </c>
      <c r="E276">
        <v>38</v>
      </c>
      <c r="F276" t="s">
        <v>18</v>
      </c>
      <c r="G276" t="s">
        <v>590</v>
      </c>
      <c r="I276">
        <v>3</v>
      </c>
      <c r="J276">
        <v>50</v>
      </c>
      <c r="K276" t="str">
        <f>IF(tbl_employee_master[[#This Row],[Exit Date]]="","Active","Exited")</f>
        <v>Active</v>
      </c>
      <c r="L276">
        <f ca="1">DATEDIF(tbl_employee_master[[#This Row],[Joining Date]],TODAY(),"Y")</f>
        <v>2</v>
      </c>
    </row>
    <row r="277" spans="1:12" x14ac:dyDescent="0.25">
      <c r="A277" t="s">
        <v>807</v>
      </c>
      <c r="B277" t="s">
        <v>24</v>
      </c>
      <c r="C277" t="s">
        <v>808</v>
      </c>
      <c r="D277">
        <v>1772986</v>
      </c>
      <c r="E277">
        <v>24</v>
      </c>
      <c r="F277" t="s">
        <v>18</v>
      </c>
      <c r="G277" t="s">
        <v>809</v>
      </c>
      <c r="I277">
        <v>4</v>
      </c>
      <c r="J277">
        <v>33</v>
      </c>
      <c r="K277" t="str">
        <f>IF(tbl_employee_master[[#This Row],[Exit Date]]="","Active","Exited")</f>
        <v>Active</v>
      </c>
      <c r="L277">
        <f ca="1">DATEDIF(tbl_employee_master[[#This Row],[Joining Date]],TODAY(),"Y")</f>
        <v>0</v>
      </c>
    </row>
    <row r="278" spans="1:12" x14ac:dyDescent="0.25">
      <c r="A278" t="s">
        <v>810</v>
      </c>
      <c r="B278" t="s">
        <v>24</v>
      </c>
      <c r="C278" t="s">
        <v>811</v>
      </c>
      <c r="D278">
        <v>1085086</v>
      </c>
      <c r="E278">
        <v>35</v>
      </c>
      <c r="F278" t="s">
        <v>13</v>
      </c>
      <c r="G278" t="s">
        <v>812</v>
      </c>
      <c r="I278">
        <v>2</v>
      </c>
      <c r="J278">
        <v>22</v>
      </c>
      <c r="K278" t="str">
        <f>IF(tbl_employee_master[[#This Row],[Exit Date]]="","Active","Exited")</f>
        <v>Active</v>
      </c>
      <c r="L278">
        <f ca="1">DATEDIF(tbl_employee_master[[#This Row],[Joining Date]],TODAY(),"Y")</f>
        <v>4</v>
      </c>
    </row>
    <row r="279" spans="1:12" x14ac:dyDescent="0.25">
      <c r="A279" t="s">
        <v>813</v>
      </c>
      <c r="B279" t="s">
        <v>28</v>
      </c>
      <c r="C279" t="s">
        <v>814</v>
      </c>
      <c r="D279">
        <v>816079</v>
      </c>
      <c r="E279">
        <v>46</v>
      </c>
      <c r="F279" t="s">
        <v>13</v>
      </c>
      <c r="G279" t="s">
        <v>815</v>
      </c>
      <c r="I279">
        <v>2</v>
      </c>
      <c r="J279">
        <v>0</v>
      </c>
      <c r="K279" t="str">
        <f>IF(tbl_employee_master[[#This Row],[Exit Date]]="","Active","Exited")</f>
        <v>Active</v>
      </c>
      <c r="L279">
        <f ca="1">DATEDIF(tbl_employee_master[[#This Row],[Joining Date]],TODAY(),"Y")</f>
        <v>0</v>
      </c>
    </row>
    <row r="280" spans="1:12" x14ac:dyDescent="0.25">
      <c r="A280" t="s">
        <v>816</v>
      </c>
      <c r="B280" t="s">
        <v>28</v>
      </c>
      <c r="C280" t="s">
        <v>817</v>
      </c>
      <c r="D280">
        <v>1144458</v>
      </c>
      <c r="E280">
        <v>42</v>
      </c>
      <c r="F280" t="s">
        <v>18</v>
      </c>
      <c r="G280" t="s">
        <v>818</v>
      </c>
      <c r="I280">
        <v>1</v>
      </c>
      <c r="J280">
        <v>46</v>
      </c>
      <c r="K280" t="str">
        <f>IF(tbl_employee_master[[#This Row],[Exit Date]]="","Active","Exited")</f>
        <v>Active</v>
      </c>
      <c r="L280">
        <f ca="1">DATEDIF(tbl_employee_master[[#This Row],[Joining Date]],TODAY(),"Y")</f>
        <v>5</v>
      </c>
    </row>
    <row r="281" spans="1:12" x14ac:dyDescent="0.25">
      <c r="A281" t="s">
        <v>819</v>
      </c>
      <c r="B281" t="s">
        <v>11</v>
      </c>
      <c r="C281" t="s">
        <v>820</v>
      </c>
      <c r="D281">
        <v>1484190</v>
      </c>
      <c r="E281">
        <v>23</v>
      </c>
      <c r="F281" t="s">
        <v>13</v>
      </c>
      <c r="G281" t="s">
        <v>60</v>
      </c>
      <c r="I281">
        <v>1</v>
      </c>
      <c r="J281">
        <v>41</v>
      </c>
      <c r="K281" t="str">
        <f>IF(tbl_employee_master[[#This Row],[Exit Date]]="","Active","Exited")</f>
        <v>Active</v>
      </c>
      <c r="L281">
        <f ca="1">DATEDIF(tbl_employee_master[[#This Row],[Joining Date]],TODAY(),"Y")</f>
        <v>5</v>
      </c>
    </row>
    <row r="282" spans="1:12" x14ac:dyDescent="0.25">
      <c r="A282" t="s">
        <v>821</v>
      </c>
      <c r="B282" t="s">
        <v>39</v>
      </c>
      <c r="C282" t="s">
        <v>600</v>
      </c>
      <c r="D282">
        <v>713135</v>
      </c>
      <c r="E282">
        <v>40</v>
      </c>
      <c r="F282" t="s">
        <v>13</v>
      </c>
      <c r="G282" t="s">
        <v>822</v>
      </c>
      <c r="I282">
        <v>4</v>
      </c>
      <c r="J282">
        <v>21</v>
      </c>
      <c r="K282" t="str">
        <f>IF(tbl_employee_master[[#This Row],[Exit Date]]="","Active","Exited")</f>
        <v>Active</v>
      </c>
      <c r="L282">
        <f ca="1">DATEDIF(tbl_employee_master[[#This Row],[Joining Date]],TODAY(),"Y")</f>
        <v>3</v>
      </c>
    </row>
    <row r="283" spans="1:12" x14ac:dyDescent="0.25">
      <c r="A283" t="s">
        <v>823</v>
      </c>
      <c r="B283" t="s">
        <v>28</v>
      </c>
      <c r="C283" t="s">
        <v>824</v>
      </c>
      <c r="D283">
        <v>1550349</v>
      </c>
      <c r="E283">
        <v>42</v>
      </c>
      <c r="F283" t="s">
        <v>13</v>
      </c>
      <c r="G283" t="s">
        <v>825</v>
      </c>
      <c r="I283">
        <v>1</v>
      </c>
      <c r="J283">
        <v>46</v>
      </c>
      <c r="K283" t="str">
        <f>IF(tbl_employee_master[[#This Row],[Exit Date]]="","Active","Exited")</f>
        <v>Active</v>
      </c>
      <c r="L283">
        <f ca="1">DATEDIF(tbl_employee_master[[#This Row],[Joining Date]],TODAY(),"Y")</f>
        <v>1</v>
      </c>
    </row>
    <row r="284" spans="1:12" x14ac:dyDescent="0.25">
      <c r="A284" t="s">
        <v>826</v>
      </c>
      <c r="B284" t="s">
        <v>59</v>
      </c>
      <c r="C284" t="s">
        <v>827</v>
      </c>
      <c r="D284">
        <v>750295</v>
      </c>
      <c r="E284">
        <v>43</v>
      </c>
      <c r="F284" t="s">
        <v>13</v>
      </c>
      <c r="G284" t="s">
        <v>828</v>
      </c>
      <c r="I284">
        <v>2</v>
      </c>
      <c r="J284">
        <v>56</v>
      </c>
      <c r="K284" t="str">
        <f>IF(tbl_employee_master[[#This Row],[Exit Date]]="","Active","Exited")</f>
        <v>Active</v>
      </c>
      <c r="L284">
        <f ca="1">DATEDIF(tbl_employee_master[[#This Row],[Joining Date]],TODAY(),"Y")</f>
        <v>0</v>
      </c>
    </row>
    <row r="285" spans="1:12" x14ac:dyDescent="0.25">
      <c r="A285" t="s">
        <v>829</v>
      </c>
      <c r="B285" t="s">
        <v>32</v>
      </c>
      <c r="C285" t="s">
        <v>830</v>
      </c>
      <c r="D285">
        <v>440607</v>
      </c>
      <c r="E285">
        <v>35</v>
      </c>
      <c r="F285" t="s">
        <v>18</v>
      </c>
      <c r="G285" t="s">
        <v>168</v>
      </c>
      <c r="I285">
        <v>2</v>
      </c>
      <c r="J285">
        <v>53</v>
      </c>
      <c r="K285" t="str">
        <f>IF(tbl_employee_master[[#This Row],[Exit Date]]="","Active","Exited")</f>
        <v>Active</v>
      </c>
      <c r="L285">
        <f ca="1">DATEDIF(tbl_employee_master[[#This Row],[Joining Date]],TODAY(),"Y")</f>
        <v>1</v>
      </c>
    </row>
    <row r="286" spans="1:12" x14ac:dyDescent="0.25">
      <c r="A286" t="s">
        <v>831</v>
      </c>
      <c r="B286" t="s">
        <v>39</v>
      </c>
      <c r="C286" t="s">
        <v>832</v>
      </c>
      <c r="D286">
        <v>494212</v>
      </c>
      <c r="E286">
        <v>40</v>
      </c>
      <c r="F286" t="s">
        <v>18</v>
      </c>
      <c r="G286" t="s">
        <v>833</v>
      </c>
      <c r="I286">
        <v>4</v>
      </c>
      <c r="J286">
        <v>38</v>
      </c>
      <c r="K286" t="str">
        <f>IF(tbl_employee_master[[#This Row],[Exit Date]]="","Active","Exited")</f>
        <v>Active</v>
      </c>
      <c r="L286">
        <f ca="1">DATEDIF(tbl_employee_master[[#This Row],[Joining Date]],TODAY(),"Y")</f>
        <v>5</v>
      </c>
    </row>
    <row r="287" spans="1:12" x14ac:dyDescent="0.25">
      <c r="A287" t="s">
        <v>834</v>
      </c>
      <c r="B287" t="s">
        <v>11</v>
      </c>
      <c r="C287" t="s">
        <v>835</v>
      </c>
      <c r="D287">
        <v>1377207</v>
      </c>
      <c r="E287">
        <v>50</v>
      </c>
      <c r="F287" t="s">
        <v>13</v>
      </c>
      <c r="G287" t="s">
        <v>836</v>
      </c>
      <c r="H287" t="s">
        <v>48</v>
      </c>
      <c r="I287">
        <v>3</v>
      </c>
      <c r="J287">
        <v>35</v>
      </c>
      <c r="K287" t="str">
        <f>IF(tbl_employee_master[[#This Row],[Exit Date]]="","Active","Exited")</f>
        <v>Exited</v>
      </c>
      <c r="L287">
        <f ca="1">DATEDIF(tbl_employee_master[[#This Row],[Joining Date]],TODAY(),"Y")</f>
        <v>0</v>
      </c>
    </row>
    <row r="288" spans="1:12" x14ac:dyDescent="0.25">
      <c r="A288" t="s">
        <v>837</v>
      </c>
      <c r="B288" t="s">
        <v>39</v>
      </c>
      <c r="C288" t="s">
        <v>838</v>
      </c>
      <c r="D288">
        <v>905012</v>
      </c>
      <c r="E288">
        <v>37</v>
      </c>
      <c r="F288" t="s">
        <v>18</v>
      </c>
      <c r="G288" t="s">
        <v>562</v>
      </c>
      <c r="I288">
        <v>1</v>
      </c>
      <c r="J288">
        <v>26</v>
      </c>
      <c r="K288" t="str">
        <f>IF(tbl_employee_master[[#This Row],[Exit Date]]="","Active","Exited")</f>
        <v>Active</v>
      </c>
      <c r="L288">
        <f ca="1">DATEDIF(tbl_employee_master[[#This Row],[Joining Date]],TODAY(),"Y")</f>
        <v>1</v>
      </c>
    </row>
    <row r="289" spans="1:12" x14ac:dyDescent="0.25">
      <c r="A289" t="s">
        <v>839</v>
      </c>
      <c r="B289" t="s">
        <v>28</v>
      </c>
      <c r="C289" t="s">
        <v>840</v>
      </c>
      <c r="D289">
        <v>1499029</v>
      </c>
      <c r="E289">
        <v>40</v>
      </c>
      <c r="F289" t="s">
        <v>13</v>
      </c>
      <c r="G289" t="s">
        <v>841</v>
      </c>
      <c r="H289" t="s">
        <v>319</v>
      </c>
      <c r="I289">
        <v>5</v>
      </c>
      <c r="J289">
        <v>40</v>
      </c>
      <c r="K289" t="str">
        <f>IF(tbl_employee_master[[#This Row],[Exit Date]]="","Active","Exited")</f>
        <v>Exited</v>
      </c>
      <c r="L289">
        <f ca="1">DATEDIF(tbl_employee_master[[#This Row],[Joining Date]],TODAY(),"Y")</f>
        <v>5</v>
      </c>
    </row>
    <row r="290" spans="1:12" x14ac:dyDescent="0.25">
      <c r="A290" t="s">
        <v>842</v>
      </c>
      <c r="B290" t="s">
        <v>24</v>
      </c>
      <c r="C290" t="s">
        <v>843</v>
      </c>
      <c r="D290">
        <v>1102202</v>
      </c>
      <c r="E290">
        <v>31</v>
      </c>
      <c r="F290" t="s">
        <v>18</v>
      </c>
      <c r="G290" t="s">
        <v>844</v>
      </c>
      <c r="I290">
        <v>5</v>
      </c>
      <c r="J290">
        <v>32</v>
      </c>
      <c r="K290" t="str">
        <f>IF(tbl_employee_master[[#This Row],[Exit Date]]="","Active","Exited")</f>
        <v>Active</v>
      </c>
      <c r="L290">
        <f ca="1">DATEDIF(tbl_employee_master[[#This Row],[Joining Date]],TODAY(),"Y")</f>
        <v>0</v>
      </c>
    </row>
    <row r="291" spans="1:12" x14ac:dyDescent="0.25">
      <c r="A291" t="s">
        <v>845</v>
      </c>
      <c r="B291" t="s">
        <v>11</v>
      </c>
      <c r="C291" t="s">
        <v>846</v>
      </c>
      <c r="D291">
        <v>1765683</v>
      </c>
      <c r="E291">
        <v>23</v>
      </c>
      <c r="F291" t="s">
        <v>18</v>
      </c>
      <c r="G291" t="s">
        <v>847</v>
      </c>
      <c r="I291">
        <v>3</v>
      </c>
      <c r="J291">
        <v>53</v>
      </c>
      <c r="K291" t="str">
        <f>IF(tbl_employee_master[[#This Row],[Exit Date]]="","Active","Exited")</f>
        <v>Active</v>
      </c>
      <c r="L291">
        <f ca="1">DATEDIF(tbl_employee_master[[#This Row],[Joining Date]],TODAY(),"Y")</f>
        <v>6</v>
      </c>
    </row>
    <row r="292" spans="1:12" x14ac:dyDescent="0.25">
      <c r="A292" t="s">
        <v>848</v>
      </c>
      <c r="B292" t="s">
        <v>28</v>
      </c>
      <c r="C292" t="s">
        <v>849</v>
      </c>
      <c r="D292">
        <v>314083</v>
      </c>
      <c r="E292">
        <v>42</v>
      </c>
      <c r="F292" t="s">
        <v>18</v>
      </c>
      <c r="G292" t="s">
        <v>850</v>
      </c>
      <c r="I292">
        <v>5</v>
      </c>
      <c r="J292">
        <v>6</v>
      </c>
      <c r="K292" t="str">
        <f>IF(tbl_employee_master[[#This Row],[Exit Date]]="","Active","Exited")</f>
        <v>Active</v>
      </c>
      <c r="L292">
        <f ca="1">DATEDIF(tbl_employee_master[[#This Row],[Joining Date]],TODAY(),"Y")</f>
        <v>5</v>
      </c>
    </row>
    <row r="293" spans="1:12" x14ac:dyDescent="0.25">
      <c r="A293" t="s">
        <v>851</v>
      </c>
      <c r="B293" t="s">
        <v>59</v>
      </c>
      <c r="C293" t="s">
        <v>852</v>
      </c>
      <c r="D293">
        <v>928217</v>
      </c>
      <c r="E293">
        <v>38</v>
      </c>
      <c r="F293" t="s">
        <v>18</v>
      </c>
      <c r="G293" t="s">
        <v>234</v>
      </c>
      <c r="I293">
        <v>1</v>
      </c>
      <c r="J293">
        <v>17</v>
      </c>
      <c r="K293" t="str">
        <f>IF(tbl_employee_master[[#This Row],[Exit Date]]="","Active","Exited")</f>
        <v>Active</v>
      </c>
      <c r="L293">
        <f ca="1">DATEDIF(tbl_employee_master[[#This Row],[Joining Date]],TODAY(),"Y")</f>
        <v>2</v>
      </c>
    </row>
    <row r="294" spans="1:12" x14ac:dyDescent="0.25">
      <c r="A294" t="s">
        <v>853</v>
      </c>
      <c r="B294" t="s">
        <v>24</v>
      </c>
      <c r="C294" t="s">
        <v>854</v>
      </c>
      <c r="D294">
        <v>948398</v>
      </c>
      <c r="E294">
        <v>50</v>
      </c>
      <c r="F294" t="s">
        <v>13</v>
      </c>
      <c r="G294" t="s">
        <v>146</v>
      </c>
      <c r="I294">
        <v>4</v>
      </c>
      <c r="J294">
        <v>2</v>
      </c>
      <c r="K294" t="str">
        <f>IF(tbl_employee_master[[#This Row],[Exit Date]]="","Active","Exited")</f>
        <v>Active</v>
      </c>
      <c r="L294">
        <f ca="1">DATEDIF(tbl_employee_master[[#This Row],[Joining Date]],TODAY(),"Y")</f>
        <v>3</v>
      </c>
    </row>
    <row r="295" spans="1:12" x14ac:dyDescent="0.25">
      <c r="A295" t="s">
        <v>855</v>
      </c>
      <c r="B295" t="s">
        <v>32</v>
      </c>
      <c r="C295" t="s">
        <v>93</v>
      </c>
      <c r="D295">
        <v>1370631</v>
      </c>
      <c r="E295">
        <v>39</v>
      </c>
      <c r="F295" t="s">
        <v>13</v>
      </c>
      <c r="G295" t="s">
        <v>856</v>
      </c>
      <c r="I295">
        <v>2</v>
      </c>
      <c r="J295">
        <v>14</v>
      </c>
      <c r="K295" t="str">
        <f>IF(tbl_employee_master[[#This Row],[Exit Date]]="","Active","Exited")</f>
        <v>Active</v>
      </c>
      <c r="L295">
        <f ca="1">DATEDIF(tbl_employee_master[[#This Row],[Joining Date]],TODAY(),"Y")</f>
        <v>1</v>
      </c>
    </row>
    <row r="296" spans="1:12" x14ac:dyDescent="0.25">
      <c r="A296" t="s">
        <v>857</v>
      </c>
      <c r="B296" t="s">
        <v>24</v>
      </c>
      <c r="C296" t="s">
        <v>858</v>
      </c>
      <c r="D296">
        <v>1173655</v>
      </c>
      <c r="E296">
        <v>34</v>
      </c>
      <c r="F296" t="s">
        <v>18</v>
      </c>
      <c r="G296" t="s">
        <v>859</v>
      </c>
      <c r="H296" t="s">
        <v>679</v>
      </c>
      <c r="I296">
        <v>3</v>
      </c>
      <c r="J296">
        <v>15</v>
      </c>
      <c r="K296" t="str">
        <f>IF(tbl_employee_master[[#This Row],[Exit Date]]="","Active","Exited")</f>
        <v>Exited</v>
      </c>
      <c r="L296">
        <f ca="1">DATEDIF(tbl_employee_master[[#This Row],[Joining Date]],TODAY(),"Y")</f>
        <v>3</v>
      </c>
    </row>
    <row r="297" spans="1:12" x14ac:dyDescent="0.25">
      <c r="A297" t="s">
        <v>860</v>
      </c>
      <c r="B297" t="s">
        <v>16</v>
      </c>
      <c r="C297" t="s">
        <v>861</v>
      </c>
      <c r="D297">
        <v>1529880</v>
      </c>
      <c r="E297">
        <v>28</v>
      </c>
      <c r="F297" t="s">
        <v>13</v>
      </c>
      <c r="G297" t="s">
        <v>862</v>
      </c>
      <c r="H297" t="s">
        <v>863</v>
      </c>
      <c r="I297">
        <v>3</v>
      </c>
      <c r="J297">
        <v>50</v>
      </c>
      <c r="K297" t="str">
        <f>IF(tbl_employee_master[[#This Row],[Exit Date]]="","Active","Exited")</f>
        <v>Exited</v>
      </c>
      <c r="L297">
        <f ca="1">DATEDIF(tbl_employee_master[[#This Row],[Joining Date]],TODAY(),"Y")</f>
        <v>3</v>
      </c>
    </row>
    <row r="298" spans="1:12" x14ac:dyDescent="0.25">
      <c r="A298" t="s">
        <v>864</v>
      </c>
      <c r="B298" t="s">
        <v>16</v>
      </c>
      <c r="C298" t="s">
        <v>865</v>
      </c>
      <c r="D298">
        <v>1793462</v>
      </c>
      <c r="E298">
        <v>45</v>
      </c>
      <c r="F298" t="s">
        <v>18</v>
      </c>
      <c r="G298" t="s">
        <v>866</v>
      </c>
      <c r="I298">
        <v>3</v>
      </c>
      <c r="J298">
        <v>26</v>
      </c>
      <c r="K298" t="str">
        <f>IF(tbl_employee_master[[#This Row],[Exit Date]]="","Active","Exited")</f>
        <v>Active</v>
      </c>
      <c r="L298">
        <f ca="1">DATEDIF(tbl_employee_master[[#This Row],[Joining Date]],TODAY(),"Y")</f>
        <v>0</v>
      </c>
    </row>
    <row r="299" spans="1:12" x14ac:dyDescent="0.25">
      <c r="A299" t="s">
        <v>867</v>
      </c>
      <c r="B299" t="s">
        <v>39</v>
      </c>
      <c r="C299" t="s">
        <v>868</v>
      </c>
      <c r="D299">
        <v>588202</v>
      </c>
      <c r="E299">
        <v>33</v>
      </c>
      <c r="F299" t="s">
        <v>13</v>
      </c>
      <c r="G299" t="s">
        <v>869</v>
      </c>
      <c r="I299">
        <v>5</v>
      </c>
      <c r="J299">
        <v>29</v>
      </c>
      <c r="K299" t="str">
        <f>IF(tbl_employee_master[[#This Row],[Exit Date]]="","Active","Exited")</f>
        <v>Active</v>
      </c>
      <c r="L299">
        <f ca="1">DATEDIF(tbl_employee_master[[#This Row],[Joining Date]],TODAY(),"Y")</f>
        <v>5</v>
      </c>
    </row>
    <row r="300" spans="1:12" x14ac:dyDescent="0.25">
      <c r="A300" t="s">
        <v>870</v>
      </c>
      <c r="B300" t="s">
        <v>16</v>
      </c>
      <c r="C300" t="s">
        <v>871</v>
      </c>
      <c r="D300">
        <v>808807</v>
      </c>
      <c r="E300">
        <v>30</v>
      </c>
      <c r="F300" t="s">
        <v>13</v>
      </c>
      <c r="G300" t="s">
        <v>872</v>
      </c>
      <c r="I300">
        <v>3</v>
      </c>
      <c r="J300">
        <v>4</v>
      </c>
      <c r="K300" t="str">
        <f>IF(tbl_employee_master[[#This Row],[Exit Date]]="","Active","Exited")</f>
        <v>Active</v>
      </c>
      <c r="L300">
        <f ca="1">DATEDIF(tbl_employee_master[[#This Row],[Joining Date]],TODAY(),"Y")</f>
        <v>1</v>
      </c>
    </row>
    <row r="301" spans="1:12" x14ac:dyDescent="0.25">
      <c r="A301" t="s">
        <v>873</v>
      </c>
      <c r="B301" t="s">
        <v>24</v>
      </c>
      <c r="C301" t="s">
        <v>874</v>
      </c>
      <c r="D301">
        <v>1536103</v>
      </c>
      <c r="E301">
        <v>40</v>
      </c>
      <c r="F301" t="s">
        <v>13</v>
      </c>
      <c r="G301" t="s">
        <v>875</v>
      </c>
      <c r="I301">
        <v>2</v>
      </c>
      <c r="J301">
        <v>14</v>
      </c>
      <c r="K301" t="str">
        <f>IF(tbl_employee_master[[#This Row],[Exit Date]]="","Active","Exited")</f>
        <v>Active</v>
      </c>
      <c r="L301">
        <f ca="1">DATEDIF(tbl_employee_master[[#This Row],[Joining Date]],TODAY(),"Y")</f>
        <v>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showGridLines="0" tabSelected="1" zoomScale="91" zoomScaleNormal="91" workbookViewId="0">
      <selection activeCell="S1" sqref="S1"/>
    </sheetView>
  </sheetViews>
  <sheetFormatPr defaultRowHeight="15" x14ac:dyDescent="0.25"/>
  <cols>
    <col min="7" max="7" width="19.7109375" bestFit="1" customWidth="1"/>
  </cols>
  <sheetData>
    <row r="1" spans="1:12" x14ac:dyDescent="0.25">
      <c r="A1" s="13" t="s">
        <v>887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2" ht="15" customHeight="1" x14ac:dyDescent="0.35">
      <c r="A4" s="14" t="s">
        <v>884</v>
      </c>
      <c r="B4" s="14"/>
      <c r="C4" s="5"/>
      <c r="D4" s="15" t="s">
        <v>888</v>
      </c>
      <c r="E4" s="16"/>
      <c r="G4" s="15" t="s">
        <v>889</v>
      </c>
      <c r="H4" s="17"/>
      <c r="J4" s="15" t="s">
        <v>890</v>
      </c>
      <c r="K4" s="17"/>
      <c r="L4" s="17"/>
    </row>
    <row r="5" spans="1:12" ht="21" x14ac:dyDescent="0.35">
      <c r="A5" s="14"/>
      <c r="B5" s="14"/>
      <c r="C5" s="5"/>
      <c r="D5" s="16"/>
      <c r="E5" s="16"/>
      <c r="G5" s="17"/>
      <c r="H5" s="17"/>
      <c r="J5" s="17"/>
      <c r="K5" s="17"/>
      <c r="L5" s="17"/>
    </row>
    <row r="6" spans="1:12" ht="21" x14ac:dyDescent="0.35">
      <c r="A6" s="14"/>
      <c r="B6" s="14"/>
      <c r="C6" s="5"/>
      <c r="D6" s="16"/>
      <c r="E6" s="16"/>
      <c r="G6" s="17"/>
      <c r="H6" s="17"/>
      <c r="J6" s="17"/>
      <c r="K6" s="17"/>
      <c r="L6" s="17"/>
    </row>
    <row r="7" spans="1:12" ht="21" x14ac:dyDescent="0.35">
      <c r="A7" s="14"/>
      <c r="B7" s="14"/>
      <c r="C7" s="5"/>
      <c r="D7" s="16"/>
      <c r="E7" s="16"/>
      <c r="G7" s="17"/>
      <c r="H7" s="17"/>
      <c r="J7" s="17"/>
      <c r="K7" s="17"/>
      <c r="L7" s="17"/>
    </row>
    <row r="8" spans="1:12" ht="21" x14ac:dyDescent="0.35">
      <c r="A8" s="6">
        <v>300</v>
      </c>
      <c r="D8" s="8">
        <v>0.22</v>
      </c>
      <c r="G8" s="7">
        <f>AVERAGE(tbl_employee_master[Salary])</f>
        <v>1108898.4099999999</v>
      </c>
      <c r="J8" s="6">
        <f>AVERAGE(Employee_Master!J:J)</f>
        <v>31.733333333333334</v>
      </c>
    </row>
    <row r="48" spans="1:10" x14ac:dyDescent="0.25">
      <c r="A48" s="11" t="s">
        <v>891</v>
      </c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1" spans="1:10" ht="26.25" x14ac:dyDescent="0.4">
      <c r="A51" s="9" t="s">
        <v>892</v>
      </c>
      <c r="B51" s="10"/>
      <c r="C51" s="10"/>
      <c r="D51" s="10"/>
      <c r="E51" s="10"/>
      <c r="F51" s="10"/>
      <c r="G51" s="10"/>
      <c r="H51" s="10"/>
      <c r="I51" s="10"/>
    </row>
    <row r="52" spans="1:10" ht="26.25" x14ac:dyDescent="0.4">
      <c r="A52" s="9" t="s">
        <v>896</v>
      </c>
      <c r="B52" s="10"/>
      <c r="C52" s="10"/>
      <c r="D52" s="10"/>
      <c r="E52" s="10"/>
      <c r="F52" s="10"/>
      <c r="G52" s="10"/>
      <c r="H52" s="10"/>
      <c r="I52" s="10"/>
    </row>
    <row r="53" spans="1:10" ht="26.25" x14ac:dyDescent="0.4">
      <c r="A53" s="9" t="s">
        <v>893</v>
      </c>
      <c r="B53" s="10"/>
      <c r="C53" s="10"/>
      <c r="D53" s="10"/>
      <c r="E53" s="10"/>
      <c r="F53" s="10"/>
      <c r="G53" s="10"/>
      <c r="H53" s="10"/>
      <c r="I53" s="10"/>
    </row>
    <row r="54" spans="1:10" ht="26.25" x14ac:dyDescent="0.4">
      <c r="A54" s="9" t="s">
        <v>894</v>
      </c>
      <c r="B54" s="10"/>
      <c r="C54" s="10"/>
      <c r="D54" s="10"/>
      <c r="E54" s="10"/>
      <c r="F54" s="10"/>
      <c r="G54" s="10"/>
      <c r="H54" s="10"/>
      <c r="I54" s="10"/>
    </row>
    <row r="55" spans="1:10" ht="26.25" x14ac:dyDescent="0.4">
      <c r="A55" s="9" t="s">
        <v>895</v>
      </c>
      <c r="B55" s="10"/>
      <c r="C55" s="10"/>
      <c r="D55" s="10"/>
      <c r="E55" s="10"/>
      <c r="F55" s="10"/>
      <c r="G55" s="10"/>
      <c r="H55" s="10"/>
      <c r="I55" s="10"/>
    </row>
    <row r="56" spans="1:10" ht="26.25" x14ac:dyDescent="0.4">
      <c r="A56" s="10"/>
      <c r="B56" s="10"/>
      <c r="C56" s="10"/>
      <c r="D56" s="10"/>
      <c r="E56" s="10"/>
      <c r="F56" s="10"/>
      <c r="G56" s="10"/>
      <c r="H56" s="10"/>
      <c r="I56" s="10"/>
    </row>
    <row r="57" spans="1:10" ht="26.25" x14ac:dyDescent="0.4">
      <c r="A57" s="10"/>
      <c r="B57" s="10"/>
      <c r="C57" s="10"/>
      <c r="D57" s="10"/>
      <c r="E57" s="10"/>
      <c r="F57" s="10"/>
      <c r="G57" s="10"/>
      <c r="H57" s="10"/>
      <c r="I57" s="10"/>
    </row>
    <row r="58" spans="1:10" ht="26.25" x14ac:dyDescent="0.4">
      <c r="A58" s="10"/>
      <c r="B58" s="10"/>
      <c r="C58" s="10"/>
      <c r="D58" s="10"/>
      <c r="E58" s="10"/>
      <c r="F58" s="10"/>
      <c r="G58" s="10"/>
      <c r="H58" s="10"/>
      <c r="I58" s="10"/>
    </row>
    <row r="59" spans="1:10" ht="26.25" x14ac:dyDescent="0.4">
      <c r="A59" s="10"/>
      <c r="B59" s="10"/>
      <c r="C59" s="10"/>
      <c r="D59" s="10"/>
      <c r="E59" s="10"/>
      <c r="F59" s="10"/>
      <c r="G59" s="10"/>
      <c r="H59" s="10"/>
      <c r="I59" s="10"/>
    </row>
    <row r="60" spans="1:10" ht="26.25" x14ac:dyDescent="0.4">
      <c r="A60" s="10"/>
      <c r="B60" s="10"/>
      <c r="C60" s="10"/>
      <c r="D60" s="10"/>
      <c r="E60" s="10"/>
      <c r="F60" s="10"/>
      <c r="G60" s="10"/>
      <c r="H60" s="10"/>
      <c r="I60" s="10"/>
    </row>
    <row r="61" spans="1:10" ht="26.25" x14ac:dyDescent="0.4">
      <c r="A61" s="10"/>
      <c r="B61" s="10"/>
      <c r="C61" s="10"/>
      <c r="D61" s="10"/>
      <c r="E61" s="10"/>
      <c r="F61" s="10"/>
      <c r="G61" s="10"/>
      <c r="H61" s="10"/>
      <c r="I61" s="10"/>
    </row>
    <row r="62" spans="1:10" ht="26.25" x14ac:dyDescent="0.4">
      <c r="A62" s="10"/>
      <c r="B62" s="10"/>
      <c r="C62" s="10"/>
      <c r="D62" s="10"/>
      <c r="E62" s="10"/>
      <c r="F62" s="10"/>
      <c r="G62" s="10"/>
      <c r="H62" s="10"/>
      <c r="I62" s="10"/>
    </row>
  </sheetData>
  <mergeCells count="6">
    <mergeCell ref="A48:J49"/>
    <mergeCell ref="A1:K2"/>
    <mergeCell ref="A4:B7"/>
    <mergeCell ref="D4:E7"/>
    <mergeCell ref="G4:H7"/>
    <mergeCell ref="J4:L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Pivot_Tables</vt:lpstr>
      <vt:lpstr>Dept_Attrition</vt:lpstr>
      <vt:lpstr>Gender_Distribution</vt:lpstr>
      <vt:lpstr>Training_Analysis</vt:lpstr>
      <vt:lpstr>Performance_Analysis</vt:lpstr>
      <vt:lpstr>Employee_Master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Advita</cp:lastModifiedBy>
  <dcterms:created xsi:type="dcterms:W3CDTF">2026-05-18T12:30:50Z</dcterms:created>
  <dcterms:modified xsi:type="dcterms:W3CDTF">2026-05-29T06:59:44Z</dcterms:modified>
</cp:coreProperties>
</file>